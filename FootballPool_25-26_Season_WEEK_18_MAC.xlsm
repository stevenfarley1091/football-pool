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tevenfarley/Documents/Football Pool 2025-2026/"/>
    </mc:Choice>
  </mc:AlternateContent>
  <xr:revisionPtr revIDLastSave="0" documentId="13_ncr:1_{42B5C4D8-DAAC-5644-B362-4D277646B96B}" xr6:coauthVersionLast="47" xr6:coauthVersionMax="47" xr10:uidLastSave="{00000000-0000-0000-0000-000000000000}"/>
  <bookViews>
    <workbookView xWindow="0" yWindow="680" windowWidth="30240" windowHeight="17700" firstSheet="1" activeTab="17" xr2:uid="{A19028A9-C309-4FB8-AB74-55D7AA040107}"/>
  </bookViews>
  <sheets>
    <sheet name="Week 1" sheetId="23" r:id="rId1"/>
    <sheet name="Week 2" sheetId="22" r:id="rId2"/>
    <sheet name="Week 3" sheetId="1" r:id="rId3"/>
    <sheet name="Week 4" sheetId="8" r:id="rId4"/>
    <sheet name="Week 5" sheetId="6" r:id="rId5"/>
    <sheet name="Week 6" sheetId="7" r:id="rId6"/>
    <sheet name="Week 7" sheetId="9" r:id="rId7"/>
    <sheet name="Week 8" sheetId="10" r:id="rId8"/>
    <sheet name="Week 9" sheetId="11" r:id="rId9"/>
    <sheet name="Week 10" sheetId="12" r:id="rId10"/>
    <sheet name="Week 11" sheetId="13" r:id="rId11"/>
    <sheet name="Week 12" sheetId="15" r:id="rId12"/>
    <sheet name="Week 13" sheetId="16" r:id="rId13"/>
    <sheet name="Week 14" sheetId="17" r:id="rId14"/>
    <sheet name="Week 15" sheetId="18" r:id="rId15"/>
    <sheet name="Week 16" sheetId="19" r:id="rId16"/>
    <sheet name="Week 17" sheetId="20" r:id="rId17"/>
    <sheet name="Week 18" sheetId="21" r:id="rId18"/>
  </sheets>
  <functionGroups builtInGroupCount="19"/>
  <definedNames>
    <definedName name="_xlpm.a" hidden="1" xlm="1">#NAME?</definedName>
    <definedName name="_xlpm.b" hidden="1" xlm="1">#NAME?</definedName>
    <definedName name="_xlpm.guesses" hidden="1" xlm="1">#NAME?</definedName>
    <definedName name="_xlpm.guessMatch" hidden="1" xlm="1">#NAME?</definedName>
    <definedName name="_xlpm.maxScore" hidden="1" xlm="1">#NAME?</definedName>
    <definedName name="_xlpm.minDiff" hidden="1" xlm="1">#NAME?</definedName>
    <definedName name="_xlpm.names" hidden="1" xlm="1">#NAME?</definedName>
    <definedName name="_xlpm.scores" hidden="1" xlm="1">#NAME?</definedName>
    <definedName name="_xlpm.tiebreakDiffs" hidden="1" xlm="1">#NAME?</definedName>
    <definedName name="_xlpm.tiebreaks" hidden="1" xlm="1">#NAME?</definedName>
    <definedName name="_xlpm.topScorers" hidden="1" xlm="1">#NAME?</definedName>
    <definedName name="_xlpm.txt" hidden="1" xlm="1">#NAME?</definedName>
    <definedName name="_xlpm.winnerList" hidden="1" xlm="1">#NAME?</definedName>
    <definedName name="_xlpm.winners" hidden="1" xlm="1">#NAME?</definedName>
  </definedNames>
  <calcPr calcId="191029"/>
  <customWorkbookViews>
    <customWorkbookView name="Football Pool" guid="{096EED88-6BAE-D941-AE0E-0C5B75B09829}" maximized="1" yWindow="33" windowWidth="1512" windowHeight="949" activeSheetId="8" showFormulaBar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8" i="21" l="1" a="1"/>
  <c r="E28" i="21" s="1"/>
  <c r="N26" i="23" a="1"/>
  <c r="N26" i="23" s="1"/>
  <c r="N27" i="23" s="1"/>
  <c r="M26" i="23" a="1"/>
  <c r="M26" i="23" s="1"/>
  <c r="M27" i="23" s="1"/>
  <c r="L26" i="23" a="1"/>
  <c r="L26" i="23" s="1"/>
  <c r="L27" i="23" s="1"/>
  <c r="K26" i="23" a="1"/>
  <c r="K26" i="23" s="1"/>
  <c r="K27" i="23" s="1"/>
  <c r="J26" i="23" a="1"/>
  <c r="J26" i="23" s="1"/>
  <c r="J27" i="23" s="1"/>
  <c r="I26" i="23" a="1"/>
  <c r="I26" i="23" s="1"/>
  <c r="I27" i="23" s="1"/>
  <c r="H26" i="23" a="1"/>
  <c r="H26" i="23" s="1"/>
  <c r="H27" i="23" s="1"/>
  <c r="G26" i="23" a="1"/>
  <c r="G26" i="23" s="1"/>
  <c r="G27" i="23" s="1"/>
  <c r="F26" i="23" a="1"/>
  <c r="F26" i="23" s="1"/>
  <c r="F27" i="23" s="1"/>
  <c r="E26" i="23" a="1"/>
  <c r="E26" i="23" s="1"/>
  <c r="E27" i="23" s="1"/>
  <c r="D26" i="23" a="1"/>
  <c r="D26" i="23" s="1"/>
  <c r="D27" i="23" s="1"/>
  <c r="N26" i="22" a="1"/>
  <c r="N26" i="22" s="1"/>
  <c r="N27" i="22" s="1"/>
  <c r="M26" i="22" a="1"/>
  <c r="M26" i="22" s="1"/>
  <c r="M27" i="22" s="1"/>
  <c r="L26" i="22" a="1"/>
  <c r="L26" i="22" s="1"/>
  <c r="L27" i="22" s="1"/>
  <c r="K26" i="22" a="1"/>
  <c r="K26" i="22" s="1"/>
  <c r="K27" i="22" s="1"/>
  <c r="J26" i="22" a="1"/>
  <c r="J26" i="22" s="1"/>
  <c r="J27" i="22" s="1"/>
  <c r="I26" i="22" a="1"/>
  <c r="I26" i="22" s="1"/>
  <c r="I27" i="22" s="1"/>
  <c r="H26" i="22" a="1"/>
  <c r="H26" i="22" s="1"/>
  <c r="H27" i="22" s="1"/>
  <c r="G26" i="22" a="1"/>
  <c r="G26" i="22" s="1"/>
  <c r="G27" i="22" s="1"/>
  <c r="F26" i="22" a="1"/>
  <c r="F26" i="22" s="1"/>
  <c r="F27" i="22" s="1"/>
  <c r="E26" i="22" a="1"/>
  <c r="E26" i="22" s="1"/>
  <c r="E27" i="22" s="1"/>
  <c r="D26" i="22" a="1"/>
  <c r="D26" i="22" s="1"/>
  <c r="D27" i="22" s="1"/>
  <c r="N26" i="21" a="1"/>
  <c r="N26" i="21" s="1"/>
  <c r="N27" i="21" s="1"/>
  <c r="M26" i="21" a="1"/>
  <c r="M26" i="21" s="1"/>
  <c r="M27" i="21" s="1"/>
  <c r="L26" i="21" a="1"/>
  <c r="L26" i="21" s="1"/>
  <c r="L27" i="21" s="1"/>
  <c r="K26" i="21" a="1"/>
  <c r="K26" i="21" s="1"/>
  <c r="K27" i="21" s="1"/>
  <c r="J26" i="21" a="1"/>
  <c r="J26" i="21" s="1"/>
  <c r="J27" i="21" s="1"/>
  <c r="I26" i="21" a="1"/>
  <c r="I26" i="21" s="1"/>
  <c r="I27" i="21" s="1"/>
  <c r="H26" i="21" a="1"/>
  <c r="H26" i="21" s="1"/>
  <c r="H27" i="21" s="1"/>
  <c r="G26" i="21" a="1"/>
  <c r="G26" i="21" s="1"/>
  <c r="G27" i="21" s="1"/>
  <c r="F26" i="21" a="1"/>
  <c r="F26" i="21" s="1"/>
  <c r="F27" i="21" s="1"/>
  <c r="E26" i="21" a="1"/>
  <c r="E26" i="21" s="1"/>
  <c r="E27" i="21" s="1"/>
  <c r="D26" i="21" a="1"/>
  <c r="D26" i="21" s="1"/>
  <c r="D27" i="21" s="1"/>
  <c r="N26" i="20" a="1"/>
  <c r="N26" i="20" s="1"/>
  <c r="N27" i="20" s="1"/>
  <c r="M26" i="20" a="1"/>
  <c r="M26" i="20" s="1"/>
  <c r="M27" i="20" s="1"/>
  <c r="L26" i="20" a="1"/>
  <c r="L26" i="20" s="1"/>
  <c r="L27" i="20" s="1"/>
  <c r="K26" i="20" a="1"/>
  <c r="K26" i="20" s="1"/>
  <c r="K27" i="20" s="1"/>
  <c r="J26" i="20" a="1"/>
  <c r="J26" i="20" s="1"/>
  <c r="J27" i="20" s="1"/>
  <c r="I26" i="20" a="1"/>
  <c r="I26" i="20" s="1"/>
  <c r="I27" i="20" s="1"/>
  <c r="H26" i="20" a="1"/>
  <c r="H26" i="20" s="1"/>
  <c r="H27" i="20" s="1"/>
  <c r="G26" i="20" a="1"/>
  <c r="G26" i="20" s="1"/>
  <c r="G27" i="20" s="1"/>
  <c r="F26" i="20" a="1"/>
  <c r="F26" i="20" s="1"/>
  <c r="F27" i="20" s="1"/>
  <c r="E26" i="20" a="1"/>
  <c r="E26" i="20" s="1"/>
  <c r="E27" i="20" s="1"/>
  <c r="D26" i="20" a="1"/>
  <c r="D26" i="20" s="1"/>
  <c r="D27" i="20" s="1"/>
  <c r="N26" i="19" a="1"/>
  <c r="N26" i="19" s="1"/>
  <c r="N27" i="19" s="1"/>
  <c r="M26" i="19" a="1"/>
  <c r="M26" i="19" s="1"/>
  <c r="M27" i="19" s="1"/>
  <c r="L26" i="19" a="1"/>
  <c r="L26" i="19" s="1"/>
  <c r="L27" i="19" s="1"/>
  <c r="K26" i="19" a="1"/>
  <c r="K26" i="19" s="1"/>
  <c r="K27" i="19" s="1"/>
  <c r="J26" i="19" a="1"/>
  <c r="J26" i="19" s="1"/>
  <c r="J27" i="19" s="1"/>
  <c r="I26" i="19" a="1"/>
  <c r="I26" i="19" s="1"/>
  <c r="I27" i="19" s="1"/>
  <c r="H26" i="19" a="1"/>
  <c r="H26" i="19" s="1"/>
  <c r="H27" i="19" s="1"/>
  <c r="G26" i="19" a="1"/>
  <c r="G26" i="19" s="1"/>
  <c r="G27" i="19" s="1"/>
  <c r="F26" i="19" a="1"/>
  <c r="F26" i="19" s="1"/>
  <c r="F27" i="19" s="1"/>
  <c r="E26" i="19" a="1"/>
  <c r="E26" i="19" s="1"/>
  <c r="E27" i="19" s="1"/>
  <c r="D26" i="19" a="1"/>
  <c r="D26" i="19" s="1"/>
  <c r="D27" i="19" s="1"/>
  <c r="N26" i="18" a="1"/>
  <c r="N26" i="18" s="1"/>
  <c r="N27" i="18" s="1"/>
  <c r="M26" i="18" a="1"/>
  <c r="M26" i="18" s="1"/>
  <c r="M27" i="18" s="1"/>
  <c r="L26" i="18" a="1"/>
  <c r="L26" i="18" s="1"/>
  <c r="L27" i="18" s="1"/>
  <c r="K26" i="18" a="1"/>
  <c r="K26" i="18" s="1"/>
  <c r="K27" i="18" s="1"/>
  <c r="J26" i="18" a="1"/>
  <c r="J26" i="18" s="1"/>
  <c r="J27" i="18" s="1"/>
  <c r="I26" i="18" a="1"/>
  <c r="I26" i="18" s="1"/>
  <c r="I27" i="18" s="1"/>
  <c r="H26" i="18" a="1"/>
  <c r="H26" i="18" s="1"/>
  <c r="H27" i="18" s="1"/>
  <c r="G26" i="18" a="1"/>
  <c r="G26" i="18" s="1"/>
  <c r="G27" i="18" s="1"/>
  <c r="F26" i="18" a="1"/>
  <c r="F26" i="18" s="1"/>
  <c r="F27" i="18" s="1"/>
  <c r="E26" i="18" a="1"/>
  <c r="E26" i="18" s="1"/>
  <c r="E27" i="18" s="1"/>
  <c r="D26" i="18" a="1"/>
  <c r="D26" i="18" s="1"/>
  <c r="D27" i="18" s="1"/>
  <c r="N26" i="17" a="1"/>
  <c r="N26" i="17" s="1"/>
  <c r="N27" i="17" s="1"/>
  <c r="M26" i="17" a="1"/>
  <c r="M26" i="17" s="1"/>
  <c r="M27" i="17" s="1"/>
  <c r="L26" i="17" a="1"/>
  <c r="L26" i="17" s="1"/>
  <c r="L27" i="17" s="1"/>
  <c r="K26" i="17" a="1"/>
  <c r="K26" i="17" s="1"/>
  <c r="K27" i="17" s="1"/>
  <c r="J26" i="17" a="1"/>
  <c r="J26" i="17" s="1"/>
  <c r="J27" i="17" s="1"/>
  <c r="I26" i="17" a="1"/>
  <c r="I26" i="17" s="1"/>
  <c r="I27" i="17" s="1"/>
  <c r="H26" i="17" a="1"/>
  <c r="H26" i="17" s="1"/>
  <c r="H27" i="17" s="1"/>
  <c r="G26" i="17" a="1"/>
  <c r="G26" i="17" s="1"/>
  <c r="G27" i="17" s="1"/>
  <c r="F26" i="17" a="1"/>
  <c r="F26" i="17" s="1"/>
  <c r="F27" i="17" s="1"/>
  <c r="E26" i="17" a="1"/>
  <c r="E26" i="17" s="1"/>
  <c r="E27" i="17" s="1"/>
  <c r="D26" i="17" a="1"/>
  <c r="D26" i="17" s="1"/>
  <c r="D27" i="17" s="1"/>
  <c r="N26" i="16" a="1"/>
  <c r="N26" i="16" s="1"/>
  <c r="N27" i="16" s="1"/>
  <c r="M26" i="16" a="1"/>
  <c r="M26" i="16" s="1"/>
  <c r="M27" i="16" s="1"/>
  <c r="L26" i="16" a="1"/>
  <c r="L26" i="16" s="1"/>
  <c r="L27" i="16" s="1"/>
  <c r="K26" i="16" a="1"/>
  <c r="K26" i="16" s="1"/>
  <c r="K27" i="16" s="1"/>
  <c r="J26" i="16" a="1"/>
  <c r="J26" i="16" s="1"/>
  <c r="J27" i="16" s="1"/>
  <c r="I26" i="16" a="1"/>
  <c r="I26" i="16" s="1"/>
  <c r="I27" i="16" s="1"/>
  <c r="H26" i="16" a="1"/>
  <c r="H26" i="16" s="1"/>
  <c r="H27" i="16" s="1"/>
  <c r="G26" i="16" a="1"/>
  <c r="G26" i="16" s="1"/>
  <c r="G27" i="16" s="1"/>
  <c r="F26" i="16" a="1"/>
  <c r="F26" i="16" s="1"/>
  <c r="F27" i="16" s="1"/>
  <c r="E26" i="16" a="1"/>
  <c r="E26" i="16" s="1"/>
  <c r="E27" i="16" s="1"/>
  <c r="D26" i="16" a="1"/>
  <c r="D26" i="16" s="1"/>
  <c r="D27" i="16" s="1"/>
  <c r="N26" i="15" a="1"/>
  <c r="N26" i="15" s="1"/>
  <c r="N27" i="15" s="1"/>
  <c r="M26" i="15" a="1"/>
  <c r="M26" i="15" s="1"/>
  <c r="M27" i="15" s="1"/>
  <c r="L26" i="15" a="1"/>
  <c r="L26" i="15" s="1"/>
  <c r="L27" i="15" s="1"/>
  <c r="K26" i="15" a="1"/>
  <c r="K26" i="15" s="1"/>
  <c r="K27" i="15" s="1"/>
  <c r="J26" i="15" a="1"/>
  <c r="J26" i="15" s="1"/>
  <c r="J27" i="15" s="1"/>
  <c r="I26" i="15" a="1"/>
  <c r="I26" i="15" s="1"/>
  <c r="I27" i="15" s="1"/>
  <c r="H26" i="15" a="1"/>
  <c r="H26" i="15" s="1"/>
  <c r="H27" i="15" s="1"/>
  <c r="G26" i="15" a="1"/>
  <c r="G26" i="15" s="1"/>
  <c r="G27" i="15" s="1"/>
  <c r="F26" i="15" a="1"/>
  <c r="F26" i="15" s="1"/>
  <c r="F27" i="15" s="1"/>
  <c r="E26" i="15" a="1"/>
  <c r="E26" i="15" s="1"/>
  <c r="E27" i="15" s="1"/>
  <c r="D26" i="15" a="1"/>
  <c r="D26" i="15" s="1"/>
  <c r="D27" i="15" s="1"/>
  <c r="N26" i="13" a="1"/>
  <c r="N26" i="13" s="1"/>
  <c r="N27" i="13" s="1"/>
  <c r="M26" i="13" a="1"/>
  <c r="M26" i="13" s="1"/>
  <c r="M27" i="13" s="1"/>
  <c r="L26" i="13" a="1"/>
  <c r="L26" i="13" s="1"/>
  <c r="L27" i="13" s="1"/>
  <c r="K26" i="13" a="1"/>
  <c r="K26" i="13" s="1"/>
  <c r="K27" i="13" s="1"/>
  <c r="J26" i="13" a="1"/>
  <c r="J26" i="13" s="1"/>
  <c r="J27" i="13" s="1"/>
  <c r="I26" i="13" a="1"/>
  <c r="I26" i="13" s="1"/>
  <c r="I27" i="13" s="1"/>
  <c r="H26" i="13" a="1"/>
  <c r="H26" i="13" s="1"/>
  <c r="H27" i="13" s="1"/>
  <c r="G26" i="13" a="1"/>
  <c r="G26" i="13" s="1"/>
  <c r="G27" i="13" s="1"/>
  <c r="F26" i="13" a="1"/>
  <c r="F26" i="13" s="1"/>
  <c r="F27" i="13" s="1"/>
  <c r="E26" i="13" a="1"/>
  <c r="E26" i="13" s="1"/>
  <c r="E27" i="13" s="1"/>
  <c r="D26" i="13" a="1"/>
  <c r="D26" i="13" s="1"/>
  <c r="D27" i="13" s="1"/>
  <c r="N26" i="12" a="1"/>
  <c r="N26" i="12" s="1"/>
  <c r="N27" i="12" s="1"/>
  <c r="M26" i="12" a="1"/>
  <c r="M26" i="12" s="1"/>
  <c r="M27" i="12" s="1"/>
  <c r="L26" i="12" a="1"/>
  <c r="L26" i="12" s="1"/>
  <c r="L27" i="12" s="1"/>
  <c r="K26" i="12" a="1"/>
  <c r="K26" i="12" s="1"/>
  <c r="K27" i="12" s="1"/>
  <c r="J26" i="12" a="1"/>
  <c r="J26" i="12" s="1"/>
  <c r="J27" i="12" s="1"/>
  <c r="I26" i="12" a="1"/>
  <c r="I26" i="12" s="1"/>
  <c r="I27" i="12" s="1"/>
  <c r="H26" i="12" a="1"/>
  <c r="H26" i="12" s="1"/>
  <c r="H27" i="12" s="1"/>
  <c r="G26" i="12" a="1"/>
  <c r="G26" i="12" s="1"/>
  <c r="G27" i="12" s="1"/>
  <c r="F26" i="12" a="1"/>
  <c r="F26" i="12" s="1"/>
  <c r="F27" i="12" s="1"/>
  <c r="E26" i="12" a="1"/>
  <c r="E26" i="12" s="1"/>
  <c r="E27" i="12" s="1"/>
  <c r="D26" i="12" a="1"/>
  <c r="D26" i="12" s="1"/>
  <c r="D27" i="12" s="1"/>
  <c r="N26" i="11" a="1"/>
  <c r="N26" i="11" s="1"/>
  <c r="N27" i="11" s="1"/>
  <c r="M26" i="11" a="1"/>
  <c r="M26" i="11" s="1"/>
  <c r="M27" i="11" s="1"/>
  <c r="L26" i="11" a="1"/>
  <c r="L26" i="11" s="1"/>
  <c r="L27" i="11" s="1"/>
  <c r="K26" i="11" a="1"/>
  <c r="K26" i="11" s="1"/>
  <c r="K27" i="11" s="1"/>
  <c r="J26" i="11" a="1"/>
  <c r="J26" i="11" s="1"/>
  <c r="J27" i="11" s="1"/>
  <c r="I26" i="11" a="1"/>
  <c r="I26" i="11" s="1"/>
  <c r="I27" i="11" s="1"/>
  <c r="H26" i="11" a="1"/>
  <c r="H26" i="11" s="1"/>
  <c r="H27" i="11" s="1"/>
  <c r="G26" i="11" a="1"/>
  <c r="G26" i="11" s="1"/>
  <c r="G27" i="11" s="1"/>
  <c r="F26" i="11" a="1"/>
  <c r="F26" i="11" s="1"/>
  <c r="F27" i="11" s="1"/>
  <c r="E26" i="11" a="1"/>
  <c r="E26" i="11" s="1"/>
  <c r="E27" i="11" s="1"/>
  <c r="D26" i="11" a="1"/>
  <c r="D26" i="11" s="1"/>
  <c r="D27" i="11" s="1"/>
  <c r="N26" i="10" a="1"/>
  <c r="N26" i="10" s="1"/>
  <c r="N27" i="10" s="1"/>
  <c r="M26" i="10" a="1"/>
  <c r="M26" i="10" s="1"/>
  <c r="M27" i="10" s="1"/>
  <c r="L26" i="10" a="1"/>
  <c r="L26" i="10" s="1"/>
  <c r="L27" i="10" s="1"/>
  <c r="K26" i="10" a="1"/>
  <c r="K26" i="10" s="1"/>
  <c r="K27" i="10" s="1"/>
  <c r="J26" i="10" a="1"/>
  <c r="J26" i="10" s="1"/>
  <c r="J27" i="10" s="1"/>
  <c r="I26" i="10" a="1"/>
  <c r="I26" i="10" s="1"/>
  <c r="I27" i="10" s="1"/>
  <c r="H26" i="10" a="1"/>
  <c r="H26" i="10" s="1"/>
  <c r="H27" i="10" s="1"/>
  <c r="G26" i="10" a="1"/>
  <c r="G26" i="10" s="1"/>
  <c r="G27" i="10" s="1"/>
  <c r="F26" i="10" a="1"/>
  <c r="F26" i="10" s="1"/>
  <c r="F27" i="10" s="1"/>
  <c r="E26" i="10" a="1"/>
  <c r="E26" i="10" s="1"/>
  <c r="E27" i="10" s="1"/>
  <c r="D26" i="10" a="1"/>
  <c r="D26" i="10" s="1"/>
  <c r="D27" i="10" s="1"/>
  <c r="N26" i="9" a="1"/>
  <c r="N26" i="9" s="1"/>
  <c r="N27" i="9" s="1"/>
  <c r="M26" i="9" a="1"/>
  <c r="M26" i="9" s="1"/>
  <c r="M27" i="9" s="1"/>
  <c r="L26" i="9" a="1"/>
  <c r="L26" i="9" s="1"/>
  <c r="L27" i="9" s="1"/>
  <c r="K26" i="9" a="1"/>
  <c r="K26" i="9" s="1"/>
  <c r="K27" i="9" s="1"/>
  <c r="J26" i="9" a="1"/>
  <c r="J26" i="9" s="1"/>
  <c r="J27" i="9" s="1"/>
  <c r="I26" i="9" a="1"/>
  <c r="I26" i="9" s="1"/>
  <c r="I27" i="9" s="1"/>
  <c r="H26" i="9" a="1"/>
  <c r="H26" i="9" s="1"/>
  <c r="H27" i="9" s="1"/>
  <c r="G26" i="9" a="1"/>
  <c r="G26" i="9" s="1"/>
  <c r="G27" i="9" s="1"/>
  <c r="F26" i="9" a="1"/>
  <c r="F26" i="9" s="1"/>
  <c r="F27" i="9" s="1"/>
  <c r="E26" i="9" a="1"/>
  <c r="E26" i="9" s="1"/>
  <c r="E27" i="9" s="1"/>
  <c r="D26" i="9" a="1"/>
  <c r="D26" i="9" s="1"/>
  <c r="D27" i="9" s="1"/>
  <c r="D26" i="1" a="1"/>
  <c r="D26" i="1" s="1"/>
  <c r="D27" i="1" s="1"/>
  <c r="N26" i="7" a="1"/>
  <c r="N26" i="7" s="1"/>
  <c r="N27" i="7" s="1"/>
  <c r="M26" i="7" a="1"/>
  <c r="M26" i="7" s="1"/>
  <c r="M27" i="7" s="1"/>
  <c r="L26" i="7" a="1"/>
  <c r="L26" i="7" s="1"/>
  <c r="L27" i="7" s="1"/>
  <c r="K26" i="7" a="1"/>
  <c r="K26" i="7" s="1"/>
  <c r="K27" i="7" s="1"/>
  <c r="J26" i="7" a="1"/>
  <c r="J26" i="7" s="1"/>
  <c r="J27" i="7" s="1"/>
  <c r="I26" i="7" a="1"/>
  <c r="I26" i="7" s="1"/>
  <c r="I27" i="7" s="1"/>
  <c r="H26" i="7" a="1"/>
  <c r="H26" i="7" s="1"/>
  <c r="H27" i="7" s="1"/>
  <c r="G26" i="7" a="1"/>
  <c r="G26" i="7" s="1"/>
  <c r="G27" i="7" s="1"/>
  <c r="F26" i="7" a="1"/>
  <c r="F26" i="7" s="1"/>
  <c r="F27" i="7" s="1"/>
  <c r="E26" i="7" a="1"/>
  <c r="E26" i="7" s="1"/>
  <c r="E27" i="7" s="1"/>
  <c r="D26" i="7" a="1"/>
  <c r="D26" i="7" s="1"/>
  <c r="D27" i="7" s="1"/>
  <c r="N26" i="6" a="1"/>
  <c r="N26" i="6" s="1"/>
  <c r="N27" i="6" s="1"/>
  <c r="M26" i="6" a="1"/>
  <c r="M26" i="6" s="1"/>
  <c r="M27" i="6" s="1"/>
  <c r="L26" i="6" a="1"/>
  <c r="L26" i="6" s="1"/>
  <c r="L27" i="6" s="1"/>
  <c r="K26" i="6" a="1"/>
  <c r="K26" i="6" s="1"/>
  <c r="K27" i="6" s="1"/>
  <c r="J26" i="6" a="1"/>
  <c r="J26" i="6" s="1"/>
  <c r="J27" i="6" s="1"/>
  <c r="I26" i="6" a="1"/>
  <c r="I26" i="6" s="1"/>
  <c r="I27" i="6" s="1"/>
  <c r="H26" i="6" a="1"/>
  <c r="H26" i="6" s="1"/>
  <c r="H27" i="6" s="1"/>
  <c r="G26" i="6" a="1"/>
  <c r="G26" i="6" s="1"/>
  <c r="G27" i="6" s="1"/>
  <c r="F26" i="6" a="1"/>
  <c r="F26" i="6" s="1"/>
  <c r="F27" i="6" s="1"/>
  <c r="E26" i="6" a="1"/>
  <c r="E26" i="6" s="1"/>
  <c r="E27" i="6" s="1"/>
  <c r="D26" i="6" a="1"/>
  <c r="D26" i="6" s="1"/>
  <c r="D27" i="6" s="1"/>
  <c r="N26" i="8" a="1"/>
  <c r="N26" i="8" s="1"/>
  <c r="N27" i="8" s="1"/>
  <c r="M26" i="8" a="1"/>
  <c r="M26" i="8" s="1"/>
  <c r="M27" i="8" s="1"/>
  <c r="L26" i="8" a="1"/>
  <c r="L26" i="8" s="1"/>
  <c r="L27" i="8" s="1"/>
  <c r="K26" i="8" a="1"/>
  <c r="K26" i="8" s="1"/>
  <c r="K27" i="8" s="1"/>
  <c r="J26" i="8" a="1"/>
  <c r="J26" i="8" s="1"/>
  <c r="J27" i="8" s="1"/>
  <c r="I26" i="8" a="1"/>
  <c r="I26" i="8" s="1"/>
  <c r="I27" i="8" s="1"/>
  <c r="H26" i="8" a="1"/>
  <c r="H26" i="8" s="1"/>
  <c r="H27" i="8" s="1"/>
  <c r="G26" i="8" a="1"/>
  <c r="G26" i="8" s="1"/>
  <c r="G27" i="8" s="1"/>
  <c r="F26" i="8" a="1"/>
  <c r="F26" i="8" s="1"/>
  <c r="F27" i="8" s="1"/>
  <c r="E26" i="8" a="1"/>
  <c r="E26" i="8" s="1"/>
  <c r="E27" i="8" s="1"/>
  <c r="D26" i="8" a="1"/>
  <c r="D26" i="8" s="1"/>
  <c r="D27" i="8" s="1"/>
  <c r="E26" i="1" a="1"/>
  <c r="E26" i="1" s="1"/>
  <c r="E27" i="1" s="1"/>
  <c r="F26" i="1" a="1"/>
  <c r="F26" i="1" s="1"/>
  <c r="F27" i="1" s="1"/>
  <c r="G26" i="1" a="1"/>
  <c r="G26" i="1" s="1"/>
  <c r="G27" i="1" s="1"/>
  <c r="H26" i="1" a="1"/>
  <c r="H26" i="1" s="1"/>
  <c r="H27" i="1" s="1"/>
  <c r="I26" i="1" a="1"/>
  <c r="I26" i="1" s="1"/>
  <c r="I27" i="1" s="1"/>
  <c r="J26" i="1" a="1"/>
  <c r="J26" i="1" s="1"/>
  <c r="J27" i="1" s="1"/>
  <c r="K26" i="1" a="1"/>
  <c r="K26" i="1" s="1"/>
  <c r="K27" i="1" s="1"/>
  <c r="L26" i="1" a="1"/>
  <c r="L26" i="1" s="1"/>
  <c r="L27" i="1" s="1"/>
  <c r="M26" i="1" a="1"/>
  <c r="M26" i="1" s="1"/>
  <c r="M27" i="1" s="1"/>
  <c r="N26" i="1" a="1"/>
  <c r="N26" i="1" s="1"/>
  <c r="N27" i="1" s="1"/>
  <c r="E28" i="6" l="1" a="1"/>
  <c r="E28" i="6" s="1"/>
  <c r="E28" i="20" a="1"/>
  <c r="E28" i="20" s="1"/>
  <c r="E28" i="19" a="1"/>
  <c r="E28" i="19" s="1"/>
  <c r="E28" i="18" a="1"/>
  <c r="E28" i="18" s="1"/>
  <c r="E28" i="17" a="1"/>
  <c r="E28" i="17" s="1"/>
  <c r="E28" i="16" a="1"/>
  <c r="E28" i="16" s="1"/>
  <c r="E28" i="15" a="1"/>
  <c r="E28" i="15" s="1"/>
  <c r="E28" i="13" a="1"/>
  <c r="E28" i="13" s="1"/>
  <c r="E28" i="12" a="1"/>
  <c r="E28" i="12" s="1"/>
  <c r="E28" i="11" a="1"/>
  <c r="E28" i="11" s="1"/>
  <c r="E28" i="10" a="1"/>
  <c r="E28" i="10" s="1"/>
  <c r="E28" i="9" a="1"/>
  <c r="E28" i="9" s="1"/>
  <c r="E28" i="7" a="1"/>
  <c r="E28" i="7" s="1"/>
  <c r="E28" i="8" a="1"/>
  <c r="E28" i="8" s="1"/>
  <c r="E28" i="1" a="1"/>
  <c r="E28" i="1" s="1"/>
  <c r="E28" i="22" a="1"/>
  <c r="E28" i="22" s="1"/>
  <c r="E28" i="23" a="1"/>
  <c r="E28" i="2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<sst xmlns="http://schemas.openxmlformats.org/spreadsheetml/2006/main" count="4053" uniqueCount="614">
  <si>
    <t>NE@NYJ</t>
  </si>
  <si>
    <t>SF@LAR</t>
  </si>
  <si>
    <t>Mark F.</t>
  </si>
  <si>
    <t>Susan</t>
  </si>
  <si>
    <t>Cowan</t>
  </si>
  <si>
    <t>Ray</t>
  </si>
  <si>
    <t>Vicki</t>
  </si>
  <si>
    <t>Craig</t>
  </si>
  <si>
    <t>Kevin</t>
  </si>
  <si>
    <t>Mark C.</t>
  </si>
  <si>
    <t>Lisa</t>
  </si>
  <si>
    <t>Heidi</t>
  </si>
  <si>
    <t>Winning Team</t>
  </si>
  <si>
    <t>RECORD</t>
  </si>
  <si>
    <t>CF&amp;SF</t>
  </si>
  <si>
    <t>Total Points</t>
  </si>
  <si>
    <t>Points Total</t>
  </si>
  <si>
    <t>Winner</t>
  </si>
  <si>
    <r>
      <rPr>
        <b/>
        <vertAlign val="subscript"/>
        <sz val="11"/>
        <color theme="0"/>
        <rFont val="Gentium Book Basic"/>
      </rPr>
      <t>Game</t>
    </r>
    <r>
      <rPr>
        <b/>
        <sz val="11"/>
        <color theme="0"/>
        <rFont val="Gentium Book Basic"/>
      </rPr>
      <t xml:space="preserve"> </t>
    </r>
    <r>
      <rPr>
        <b/>
        <vertAlign val="superscript"/>
        <sz val="11"/>
        <color theme="0"/>
        <rFont val="Gentium Book Basic"/>
      </rPr>
      <t>Player</t>
    </r>
  </si>
  <si>
    <t>DAL@NYG</t>
  </si>
  <si>
    <t>NO@ATL</t>
  </si>
  <si>
    <t>MIN@GB</t>
  </si>
  <si>
    <t>JAX@HOU</t>
  </si>
  <si>
    <t>TB@ATL</t>
  </si>
  <si>
    <t>BAL@CIN</t>
  </si>
  <si>
    <t>MIA@NE</t>
  </si>
  <si>
    <t>IND@JAX</t>
  </si>
  <si>
    <t>LV@DEN</t>
  </si>
  <si>
    <t>ARI@SF</t>
  </si>
  <si>
    <t>WEEK 3</t>
  </si>
  <si>
    <t>WEEK 5</t>
  </si>
  <si>
    <t>SF@SEA</t>
  </si>
  <si>
    <t>IND@TEN</t>
  </si>
  <si>
    <t>TB@NO</t>
  </si>
  <si>
    <t>LAC@DEN</t>
  </si>
  <si>
    <t>ATL@CAR</t>
  </si>
  <si>
    <t>BUF@NYJ</t>
  </si>
  <si>
    <t>WEEK 6</t>
  </si>
  <si>
    <t>WEEK 7</t>
  </si>
  <si>
    <t>WEEK 8</t>
  </si>
  <si>
    <t>WEEK 9</t>
  </si>
  <si>
    <t>WEEK 10</t>
  </si>
  <si>
    <t>WEEK 11</t>
  </si>
  <si>
    <t>NYJ@NE</t>
  </si>
  <si>
    <t>PIT@LAC</t>
  </si>
  <si>
    <t>LAR@SF</t>
  </si>
  <si>
    <t>NYG@DAL</t>
  </si>
  <si>
    <t>ATL@NO</t>
  </si>
  <si>
    <t>GB@MIN</t>
  </si>
  <si>
    <t>IND@PIT</t>
  </si>
  <si>
    <t>HOU@JAX</t>
  </si>
  <si>
    <t>LAC@KC</t>
  </si>
  <si>
    <t>BAL@BUF</t>
  </si>
  <si>
    <t>ATL@TB</t>
  </si>
  <si>
    <t>CIN@BAL</t>
  </si>
  <si>
    <t>NE@MIA</t>
  </si>
  <si>
    <t>JAX@IND</t>
  </si>
  <si>
    <t>DEN@LV</t>
  </si>
  <si>
    <t>SF@ARI</t>
  </si>
  <si>
    <t>SEA@SF</t>
  </si>
  <si>
    <t>GB@ARI</t>
  </si>
  <si>
    <t>TEN@IND</t>
  </si>
  <si>
    <t>NO@TB</t>
  </si>
  <si>
    <t>DEN@LAC</t>
  </si>
  <si>
    <t>DAL@DET</t>
  </si>
  <si>
    <t>CAR@ATL</t>
  </si>
  <si>
    <t>NYJ@BUF</t>
  </si>
  <si>
    <t>CLE@CIN</t>
  </si>
  <si>
    <t>MIN@DET</t>
  </si>
  <si>
    <t>NYG@PHI</t>
  </si>
  <si>
    <t>PIT@NYJ</t>
  </si>
  <si>
    <t>CLE@BAL</t>
  </si>
  <si>
    <t>HOU@IND</t>
  </si>
  <si>
    <t>LV@KC</t>
  </si>
  <si>
    <t>BUF@MIA</t>
  </si>
  <si>
    <t>NYG@WSH</t>
  </si>
  <si>
    <t>CAR@NO</t>
  </si>
  <si>
    <t>GB@DET</t>
  </si>
  <si>
    <t>SEA@LAR</t>
  </si>
  <si>
    <t>KC@DEN</t>
  </si>
  <si>
    <t>LAC@TEN</t>
  </si>
  <si>
    <t>DAL@PHI</t>
  </si>
  <si>
    <t>PHI@WSH</t>
  </si>
  <si>
    <t>CHI@GB</t>
  </si>
  <si>
    <t>PIT@BAL</t>
  </si>
  <si>
    <t>CLE@PIT</t>
  </si>
  <si>
    <t>CHI@MIN</t>
  </si>
  <si>
    <t>WSH@DAL</t>
  </si>
  <si>
    <t>HOU@TEN</t>
  </si>
  <si>
    <t>SEA@ARI</t>
  </si>
  <si>
    <t>LAR@PHI</t>
  </si>
  <si>
    <t>WEEK 12</t>
  </si>
  <si>
    <t>WEEK 18</t>
  </si>
  <si>
    <t>WEEK 17</t>
  </si>
  <si>
    <t>WEEK 16</t>
  </si>
  <si>
    <t>WEEK 15</t>
  </si>
  <si>
    <t>WEEK 14</t>
  </si>
  <si>
    <t>WEEK 13</t>
  </si>
  <si>
    <t>DET@CHI</t>
  </si>
  <si>
    <t>KC@LV</t>
  </si>
  <si>
    <t>CIN@PIT</t>
  </si>
  <si>
    <t>NO@LAR</t>
  </si>
  <si>
    <t>CAR@TB</t>
  </si>
  <si>
    <t>DET@GB</t>
  </si>
  <si>
    <t>TEN@JAX</t>
  </si>
  <si>
    <t>MIA@NYJ</t>
  </si>
  <si>
    <t>NYG@NO</t>
  </si>
  <si>
    <t>PIT@CLE</t>
  </si>
  <si>
    <t>ARI@SEA</t>
  </si>
  <si>
    <t>KC@LAC</t>
  </si>
  <si>
    <t>DEN@IND</t>
  </si>
  <si>
    <t>MIN@CHI</t>
  </si>
  <si>
    <t>CIN@CLE</t>
  </si>
  <si>
    <t>BAL@PIT</t>
  </si>
  <si>
    <t>BUF@NE</t>
  </si>
  <si>
    <t>CHI@DET</t>
  </si>
  <si>
    <t>WSH@PHI</t>
  </si>
  <si>
    <t>CAR@ARI</t>
  </si>
  <si>
    <t>HOU@BAL</t>
  </si>
  <si>
    <t>CIN@DEN</t>
  </si>
  <si>
    <t>LAR@ARI</t>
  </si>
  <si>
    <t>WSH@ATL</t>
  </si>
  <si>
    <t>TB@CAR</t>
  </si>
  <si>
    <t>JAX@TEN</t>
  </si>
  <si>
    <t>PHI@DAL</t>
  </si>
  <si>
    <t>DAL@WSH</t>
  </si>
  <si>
    <t>DEN@KC</t>
  </si>
  <si>
    <t>DET@MIN</t>
  </si>
  <si>
    <t>GB@CHI</t>
  </si>
  <si>
    <t>TEN@HOU</t>
  </si>
  <si>
    <t>LV@LAC</t>
  </si>
  <si>
    <t>LAR@SEA</t>
  </si>
  <si>
    <t>NE@BUF</t>
  </si>
  <si>
    <t>NYJ@MIA</t>
  </si>
  <si>
    <t>PHI@NYG</t>
  </si>
  <si>
    <t>PIT@CIN</t>
  </si>
  <si>
    <t>BAL@CLE</t>
  </si>
  <si>
    <t>WEEK 4</t>
  </si>
  <si>
    <t>WEEK 2</t>
  </si>
  <si>
    <t>WEEK 1</t>
  </si>
  <si>
    <t>WSH@NYG</t>
  </si>
  <si>
    <t>MIA@BUF</t>
  </si>
  <si>
    <t>IND@HOU</t>
  </si>
  <si>
    <t>LAC@LV</t>
  </si>
  <si>
    <t>ARI@LAR</t>
  </si>
  <si>
    <t>NO@CAR</t>
  </si>
  <si>
    <t>MIA@IND</t>
  </si>
  <si>
    <t>LV@NE</t>
  </si>
  <si>
    <t>ARI@NO</t>
  </si>
  <si>
    <t>CAR@JAX</t>
  </si>
  <si>
    <t>TEN@DEN</t>
  </si>
  <si>
    <t>HOU@LAR</t>
  </si>
  <si>
    <t>WSH@GB</t>
  </si>
  <si>
    <t>JAX@CIN</t>
  </si>
  <si>
    <t>LAR@TEN</t>
  </si>
  <si>
    <t>SF@NO</t>
  </si>
  <si>
    <t>SEA@PIT</t>
  </si>
  <si>
    <t>PHI@KC</t>
  </si>
  <si>
    <t>ATL@MIN</t>
  </si>
  <si>
    <t>TB@HOU</t>
  </si>
  <si>
    <t>GB@CLE</t>
  </si>
  <si>
    <t>CIN@MIN</t>
  </si>
  <si>
    <t>PIT@NE</t>
  </si>
  <si>
    <t>NYJ@TB</t>
  </si>
  <si>
    <t>LV@WSH</t>
  </si>
  <si>
    <t>NO@SEA</t>
  </si>
  <si>
    <t>DAL@CHI</t>
  </si>
  <si>
    <t>KC@NYG</t>
  </si>
  <si>
    <t>DET@BAL</t>
  </si>
  <si>
    <t>MIN@PIT</t>
  </si>
  <si>
    <t>NO@BUF</t>
  </si>
  <si>
    <t>CLE@DET</t>
  </si>
  <si>
    <t>CAR@NE</t>
  </si>
  <si>
    <t>LAC@NYG</t>
  </si>
  <si>
    <t>PHI@TB</t>
  </si>
  <si>
    <t>IND@LAR</t>
  </si>
  <si>
    <t>JAX@SF</t>
  </si>
  <si>
    <t>BAL@KC</t>
  </si>
  <si>
    <t>CHI@LV</t>
  </si>
  <si>
    <t>GB@DAL</t>
  </si>
  <si>
    <t>MIN@CLE</t>
  </si>
  <si>
    <t>LV@IND</t>
  </si>
  <si>
    <t>DAL@NYJ</t>
  </si>
  <si>
    <t>DEN@PHI</t>
  </si>
  <si>
    <t>MIA@CAR</t>
  </si>
  <si>
    <t>TEN@ARI</t>
  </si>
  <si>
    <t>TB@SEA</t>
  </si>
  <si>
    <t>DET@CIN</t>
  </si>
  <si>
    <t>WSH@LAC</t>
  </si>
  <si>
    <t>KC@JAX</t>
  </si>
  <si>
    <t>DEN@NYJ</t>
  </si>
  <si>
    <t>ARI@IND</t>
  </si>
  <si>
    <t>LAC@MIA</t>
  </si>
  <si>
    <t>SF@TB</t>
  </si>
  <si>
    <t>DAL@CAR</t>
  </si>
  <si>
    <t>SEA@JAX</t>
  </si>
  <si>
    <t>LAR@BAL</t>
  </si>
  <si>
    <t>TEN@LV</t>
  </si>
  <si>
    <t>CIN@GB</t>
  </si>
  <si>
    <t>NE@NO</t>
  </si>
  <si>
    <t>DET@KC</t>
  </si>
  <si>
    <t>BUF@ATL</t>
  </si>
  <si>
    <t>CHI@WSH</t>
  </si>
  <si>
    <t>LAR@JAX</t>
  </si>
  <si>
    <t>NO@CHI</t>
  </si>
  <si>
    <t>MIA@CLE</t>
  </si>
  <si>
    <t>NE@TEN</t>
  </si>
  <si>
    <t>PHI@MIN</t>
  </si>
  <si>
    <t>CAR@NYJ</t>
  </si>
  <si>
    <t>NYG@DEN</t>
  </si>
  <si>
    <t>IND@LAC</t>
  </si>
  <si>
    <t>ATL@SF</t>
  </si>
  <si>
    <t>TB@DET</t>
  </si>
  <si>
    <t>HOU@SEA</t>
  </si>
  <si>
    <t>MIN@LAC</t>
  </si>
  <si>
    <t>MIA@ATL</t>
  </si>
  <si>
    <t>NYJ@CIN</t>
  </si>
  <si>
    <t>CLE@NE</t>
  </si>
  <si>
    <t>BUF@CAR</t>
  </si>
  <si>
    <t>CHI@BAL</t>
  </si>
  <si>
    <t>SF@HOU</t>
  </si>
  <si>
    <t>DAL@DEN</t>
  </si>
  <si>
    <t>GB@PIT</t>
  </si>
  <si>
    <t>WSH@KC</t>
  </si>
  <si>
    <t>BAL@MIA</t>
  </si>
  <si>
    <t>CHI@CIN</t>
  </si>
  <si>
    <t>CAR@GB</t>
  </si>
  <si>
    <t>ATL@NE</t>
  </si>
  <si>
    <t>SF@NYG</t>
  </si>
  <si>
    <t>DEN@HOU</t>
  </si>
  <si>
    <t>JAX@LV</t>
  </si>
  <si>
    <t>KC@BUF</t>
  </si>
  <si>
    <t>SEA@WSH</t>
  </si>
  <si>
    <t>ARI@DAL</t>
  </si>
  <si>
    <t>ATL@IND</t>
  </si>
  <si>
    <t>NYG@CHI</t>
  </si>
  <si>
    <t>BAL@MIN</t>
  </si>
  <si>
    <t>CLE@NYJ</t>
  </si>
  <si>
    <t>NE@TB</t>
  </si>
  <si>
    <t>DET@WSH</t>
  </si>
  <si>
    <t>PHI@GB</t>
  </si>
  <si>
    <t>WSH@MIA</t>
  </si>
  <si>
    <t>TB@BUF</t>
  </si>
  <si>
    <t>GB@NYG</t>
  </si>
  <si>
    <t>LAC@JAX</t>
  </si>
  <si>
    <t>DET@PHI</t>
  </si>
  <si>
    <t>DAL@LV</t>
  </si>
  <si>
    <t>BUF@HOU</t>
  </si>
  <si>
    <t>PIT@CHI</t>
  </si>
  <si>
    <t>NE@CIN</t>
  </si>
  <si>
    <t>NYG@DET</t>
  </si>
  <si>
    <t>SEA@TEN</t>
  </si>
  <si>
    <t>IND@KC</t>
  </si>
  <si>
    <t>NYJ@BAL</t>
  </si>
  <si>
    <t>CLE@LV</t>
  </si>
  <si>
    <t>JAX@ARI</t>
  </si>
  <si>
    <t>TB@LAR</t>
  </si>
  <si>
    <t>CAR@SF</t>
  </si>
  <si>
    <t>KC@DAL</t>
  </si>
  <si>
    <t>CHI@PHI</t>
  </si>
  <si>
    <t>SF@CLE</t>
  </si>
  <si>
    <t>NO@MIA</t>
  </si>
  <si>
    <t>ATL@NYJ</t>
  </si>
  <si>
    <t>ARI@TB</t>
  </si>
  <si>
    <t>LAR@CAR</t>
  </si>
  <si>
    <t>MIN@SEA</t>
  </si>
  <si>
    <t>BUF@PIT</t>
  </si>
  <si>
    <t>DEN@WSH</t>
  </si>
  <si>
    <t>NYG@NE</t>
  </si>
  <si>
    <t>SEA@ATL</t>
  </si>
  <si>
    <t>TEN@CLE</t>
  </si>
  <si>
    <t>WSH@MIN</t>
  </si>
  <si>
    <t>CIN@BUF</t>
  </si>
  <si>
    <t>HOU@KC</t>
  </si>
  <si>
    <t>PHI@LAC</t>
  </si>
  <si>
    <t>CLE@CHI</t>
  </si>
  <si>
    <t>LV@PHI</t>
  </si>
  <si>
    <t>NYJ@JAX</t>
  </si>
  <si>
    <t>ARI@HOU</t>
  </si>
  <si>
    <t>GB@DEN</t>
  </si>
  <si>
    <t>DET@LAR</t>
  </si>
  <si>
    <t>TEN@SF</t>
  </si>
  <si>
    <t>IND@SEA</t>
  </si>
  <si>
    <t>MIN@DAL</t>
  </si>
  <si>
    <t>MIA@PIT</t>
  </si>
  <si>
    <t>BUF@CLE</t>
  </si>
  <si>
    <t>LAC@DAL</t>
  </si>
  <si>
    <t>KC@TEN</t>
  </si>
  <si>
    <t>NYJ@NO</t>
  </si>
  <si>
    <t>MIN@NYG</t>
  </si>
  <si>
    <t>NE@BAL</t>
  </si>
  <si>
    <t>JAX@DEN</t>
  </si>
  <si>
    <t>ATL@ARI</t>
  </si>
  <si>
    <t>PIT@DET</t>
  </si>
  <si>
    <t>LV@HOU</t>
  </si>
  <si>
    <t>CIN@MIA</t>
  </si>
  <si>
    <t>SF@IND</t>
  </si>
  <si>
    <t>ARI@CIN</t>
  </si>
  <si>
    <t>BAL@GB</t>
  </si>
  <si>
    <t>NYG@LV</t>
  </si>
  <si>
    <t>HOU@LAC</t>
  </si>
  <si>
    <t>SEA@CAR</t>
  </si>
  <si>
    <t>NO@TEN</t>
  </si>
  <si>
    <t>TB@MIA</t>
  </si>
  <si>
    <t>PHI@BUF</t>
  </si>
  <si>
    <t>CHI@SF</t>
  </si>
  <si>
    <t>LAR@ATL</t>
  </si>
  <si>
    <t>PHI</t>
  </si>
  <si>
    <t>IND</t>
  </si>
  <si>
    <t>NE</t>
  </si>
  <si>
    <t>NYJ</t>
  </si>
  <si>
    <t>WSH</t>
  </si>
  <si>
    <t>JAX</t>
  </si>
  <si>
    <t>DEN</t>
  </si>
  <si>
    <t>BUF</t>
  </si>
  <si>
    <t>CHI</t>
  </si>
  <si>
    <t>KC</t>
  </si>
  <si>
    <t>TB</t>
  </si>
  <si>
    <t>CIN</t>
  </si>
  <si>
    <t>ARI</t>
  </si>
  <si>
    <t>SF</t>
  </si>
  <si>
    <t>DET</t>
  </si>
  <si>
    <t>HOU</t>
  </si>
  <si>
    <t>LAC</t>
  </si>
  <si>
    <t>ATL</t>
  </si>
  <si>
    <t>CLE</t>
  </si>
  <si>
    <t>NO</t>
  </si>
  <si>
    <t>PIT</t>
  </si>
  <si>
    <t>SEA</t>
  </si>
  <si>
    <t>MIA</t>
  </si>
  <si>
    <t>LAR</t>
  </si>
  <si>
    <t>BAL</t>
  </si>
  <si>
    <t>MIN</t>
  </si>
  <si>
    <t>GB</t>
  </si>
  <si>
    <t>LV</t>
  </si>
  <si>
    <t>NYG</t>
  </si>
  <si>
    <t>DAL</t>
  </si>
  <si>
    <t>TEN</t>
  </si>
  <si>
    <t>CAR</t>
  </si>
  <si>
    <t>PHI @ LAC</t>
  </si>
  <si>
    <t>SF @ IND</t>
  </si>
  <si>
    <t>DAL 20 - PHI 24 (F)</t>
  </si>
  <si>
    <t>TB 23 - ATL 20 (F)</t>
  </si>
  <si>
    <t>CIN 17 - CLE 16 (F)</t>
  </si>
  <si>
    <t>MIA 8 - IND 33 (F)</t>
  </si>
  <si>
    <t>LV 20 - NE 13 (F)</t>
  </si>
  <si>
    <t>ARI 20 - NO 13 (F)</t>
  </si>
  <si>
    <t>PIT 34 - NYJ 32 (F)</t>
  </si>
  <si>
    <t>NYG 6 - WSH 21 (F)</t>
  </si>
  <si>
    <t>CAR 10 - JAX 26 (F)</t>
  </si>
  <si>
    <t>TEN 12 - DEN 20 (F)</t>
  </si>
  <si>
    <t>SF 17 - SEA 13 (F)</t>
  </si>
  <si>
    <t>DET 13 - GB 27 (F)</t>
  </si>
  <si>
    <t>HOU 9 - LAR 14 (F)</t>
  </si>
  <si>
    <t>BAL 40 - BUF 41 (F)</t>
  </si>
  <si>
    <t>MIN 27 - CHI 24 (F)</t>
  </si>
  <si>
    <t>WSH 18 - GB 27 (F)</t>
  </si>
  <si>
    <t>JAX 27 - CIN 31 (F)</t>
  </si>
  <si>
    <t>NYG 37 - DAL 40 (F)</t>
  </si>
  <si>
    <t>CHI 21 - DET 52 (F)</t>
  </si>
  <si>
    <t>LAR 33 - TEN 19 (F)</t>
  </si>
  <si>
    <t>NE 33 - MIA 27 (F)</t>
  </si>
  <si>
    <t>SF 26 - NO 21 (F)</t>
  </si>
  <si>
    <t>BUF 30 - NYJ 10 (F)</t>
  </si>
  <si>
    <t>SEA 31 - PIT 17 (F)</t>
  </si>
  <si>
    <t>CLE 17 - BAL 41 (F)</t>
  </si>
  <si>
    <t>DEN 28 - IND 29 (F)</t>
  </si>
  <si>
    <t>CAR 22 - ARI 27 (F)</t>
  </si>
  <si>
    <t>PHI 20 - KC 17 (F)</t>
  </si>
  <si>
    <t>ATL 22 - MIN 6 (F)</t>
  </si>
  <si>
    <t>TB 20 - HOU 19 (F)</t>
  </si>
  <si>
    <t>LAC 20 - LV 9 (F)</t>
  </si>
  <si>
    <t>MIA 21 - BUF 31 (F)</t>
  </si>
  <si>
    <t>GB 10 - CLE 13 (F)</t>
  </si>
  <si>
    <t>IND 41 - TEN 20 (F)</t>
  </si>
  <si>
    <t>CIN 10 - MIN 48 (F)</t>
  </si>
  <si>
    <t>PIT 21 - NE 14 (F)</t>
  </si>
  <si>
    <t>LAR 26 - PHI 33 (F)</t>
  </si>
  <si>
    <t>NYJ 27 - TB 29 (F)</t>
  </si>
  <si>
    <t>LV 24 - WSH 41 (F)</t>
  </si>
  <si>
    <t>ATL 0 - CAR 30 (F)</t>
  </si>
  <si>
    <t>HOU 10 - JAX 17 (F)</t>
  </si>
  <si>
    <t>DEN 20 - LAC 23 (F)</t>
  </si>
  <si>
    <t>NO 13 - SEA 44 (F)</t>
  </si>
  <si>
    <t>DAL 14 - CHI 31 (F)</t>
  </si>
  <si>
    <t>ARI 15 - SF 16 (F)</t>
  </si>
  <si>
    <t>KC 22 - NYG 9 (F)</t>
  </si>
  <si>
    <t>DET 38 - BAL 30 (F)</t>
  </si>
  <si>
    <t>KC 21 - LAC 27 (F)</t>
  </si>
  <si>
    <t>Scores</t>
  </si>
  <si>
    <t>SEA 23 - ARI 20 (F)</t>
  </si>
  <si>
    <t>MIN 21 - PIT 24 (F)</t>
  </si>
  <si>
    <t>TEN 0 - HOU 26 (F)</t>
  </si>
  <si>
    <t>WSH 27 - ATL 34 (F)</t>
  </si>
  <si>
    <t>NO 19 - BUF 31 (F)</t>
  </si>
  <si>
    <t>CLE 10 - DET 34 (F)</t>
  </si>
  <si>
    <t>CAR 13 - NE 42 (F)</t>
  </si>
  <si>
    <t>LAC 18 - NYG 21 (F)</t>
  </si>
  <si>
    <t>PHI 31 - TB 25 (F)</t>
  </si>
  <si>
    <t>IND 20 - LAR 27 (F)</t>
  </si>
  <si>
    <t>JAX 26 - SF 21 (F)</t>
  </si>
  <si>
    <t>BAL 20 - KC 37 (F)</t>
  </si>
  <si>
    <t>CHI 25 - LV 24 (F)</t>
  </si>
  <si>
    <t>GB 40 - DAL 40 (F)</t>
  </si>
  <si>
    <t>TIE</t>
  </si>
  <si>
    <t>NYJ 21 - MIA 27 (F)</t>
  </si>
  <si>
    <t>CIN 3 - DEN 28 (F)</t>
  </si>
  <si>
    <t>SF 26 - LAR 23 (F)</t>
  </si>
  <si>
    <t>MIN 21 - CLE 17 (F)</t>
  </si>
  <si>
    <t>LV 6 - IND 40 (F)</t>
  </si>
  <si>
    <t>NYG 14 - NO 26 (F)</t>
  </si>
  <si>
    <t>DAL 37 - NYJ 22 (F)</t>
  </si>
  <si>
    <t>DEN 21 - PHI 17 (F)</t>
  </si>
  <si>
    <t>MIA 24 - CAR 27 (F)</t>
  </si>
  <si>
    <t>HOU 44 - BAL 10 (F)</t>
  </si>
  <si>
    <t>TEN 22 - ARI 21 (F)</t>
  </si>
  <si>
    <t>TB 38 - SEA 35 (F)</t>
  </si>
  <si>
    <t>DET 37 - CIN 24 (F)</t>
  </si>
  <si>
    <t>WSH 27 - LAC 10 (F)</t>
  </si>
  <si>
    <t>NE 23 - BUF 20 (F)</t>
  </si>
  <si>
    <t>KC 28 - JAX 31 (F)</t>
  </si>
  <si>
    <t>PHI 17 - NYG 34 (F)</t>
  </si>
  <si>
    <t>DEN 13 - NYJ 11 (F)</t>
  </si>
  <si>
    <t>LAR 17 - BAL 3 (F)</t>
  </si>
  <si>
    <t>ARI 27 - IND 31 (F)</t>
  </si>
  <si>
    <t>LAC 29 - MIA 27 (F)</t>
  </si>
  <si>
    <t>DAL 27 - CAR 30 (F)</t>
  </si>
  <si>
    <t>SEA 20 - JAX 12 (F)</t>
  </si>
  <si>
    <t>NE 25 - NO 19 (F)</t>
  </si>
  <si>
    <t>CLE 9 - PIT 23 (F)</t>
  </si>
  <si>
    <t>TEN 10 - LV 20 (F)</t>
  </si>
  <si>
    <t>SF 19 - TB 30 (F)</t>
  </si>
  <si>
    <t>CIN 18 - GB 27 (F)</t>
  </si>
  <si>
    <t>DET 17 - KC 30 (F)</t>
  </si>
  <si>
    <t>BUF 14 - ATL 24 (F)</t>
  </si>
  <si>
    <t>CHI 25 - WSH 24 (F)</t>
  </si>
  <si>
    <t>PIT 31 - CIN 33 (F)</t>
  </si>
  <si>
    <t>LAR 35 - JAX 7 (F)</t>
  </si>
  <si>
    <t>NE 31 - TEN 13 (F)</t>
  </si>
  <si>
    <t>LV 0 - KC 31 (F)</t>
  </si>
  <si>
    <t>NO 14 - CHI 26 (F)</t>
  </si>
  <si>
    <t>CAR 13 - NYJ 6 (F)</t>
  </si>
  <si>
    <t>MIA 6 - CLE 31 (F)</t>
  </si>
  <si>
    <t>PHI 28 - MIN 22 (F)</t>
  </si>
  <si>
    <t>NYG 32 - DEN 33 (F)</t>
  </si>
  <si>
    <t>IND 38 - LAC 24 (F)</t>
  </si>
  <si>
    <t>WSH 22 - DAL 44 (F)</t>
  </si>
  <si>
    <t>GB 27 - ARI 23 (F)</t>
  </si>
  <si>
    <t>ATL 10 - SF 20 (F)</t>
  </si>
  <si>
    <t>TB 9 - DET 24 (F)</t>
  </si>
  <si>
    <t>HOU 19 - SEA 27 (F)</t>
  </si>
  <si>
    <t>MIN 10 - LAC 37 (F)</t>
  </si>
  <si>
    <t>CLE 13 - NE 32 (F)</t>
  </si>
  <si>
    <t>NYG 20 - PHI 38 (F)</t>
  </si>
  <si>
    <t>SF 15 - HOU 26 (F)</t>
  </si>
  <si>
    <t>MIA 34 - ATL 10 (F)</t>
  </si>
  <si>
    <t>BUF 40 - CAR 9 (F)</t>
  </si>
  <si>
    <t>CHI 16 - BAL 30 (F)</t>
  </si>
  <si>
    <t>NYJ 39 - CIN 38 (F)</t>
  </si>
  <si>
    <t>TB 23 - NO 3 (F)</t>
  </si>
  <si>
    <t>TEN 14 - IND 38 (F)</t>
  </si>
  <si>
    <t>DAL 24 - DEN 44 (F)</t>
  </si>
  <si>
    <t>GB 35 - PIT 25 (F)</t>
  </si>
  <si>
    <t>WSH 7 - KC 28 (F)</t>
  </si>
  <si>
    <t>BAL 28 - MIA 6 (F)</t>
  </si>
  <si>
    <t>CHI 47 - CIN 42 (F)</t>
  </si>
  <si>
    <t>MIN 27 - DET 24 (F)</t>
  </si>
  <si>
    <t>CAR 16 - GB 13 (F)</t>
  </si>
  <si>
    <t>LAC 27 - TEN 20 (F)</t>
  </si>
  <si>
    <t>ATL 23 - NE 24 (F)</t>
  </si>
  <si>
    <t>SF 34 - NYG 24 (F)</t>
  </si>
  <si>
    <t>IND 20 - PIT 27 (F)</t>
  </si>
  <si>
    <t>DEN 18 - HOU 15 (F)</t>
  </si>
  <si>
    <t>NO 10 - LAR 34 (F)</t>
  </si>
  <si>
    <t>JAX 30 - LV 29 (F)</t>
  </si>
  <si>
    <t>KC 21 - BUF 28 (F)</t>
  </si>
  <si>
    <t>SEA 38 - WSH 14 (F)</t>
  </si>
  <si>
    <t>ARI 27 - DAL 17 (F)</t>
  </si>
  <si>
    <t>LV 7 - DEN 10 (F)</t>
  </si>
  <si>
    <t>ATL 25 - IND 31 (F)</t>
  </si>
  <si>
    <t>NYG 20 - CHI 24 (F)</t>
  </si>
  <si>
    <t>CLE 20 - NYJ 27 (F)</t>
  </si>
  <si>
    <t>NO 17 - CAR 7 (F)</t>
  </si>
  <si>
    <t>BUF 13 - MIA 30 (F)</t>
  </si>
  <si>
    <t>BAL 27 - MIN 19 (F)</t>
  </si>
  <si>
    <t>NE 28 - TB 23 (F)</t>
  </si>
  <si>
    <t>JAX 29 - HOU 36 (F)</t>
  </si>
  <si>
    <t>ARI 22 - SEA 44 (F)</t>
  </si>
  <si>
    <t>LAR 42 - SF 26 (F)</t>
  </si>
  <si>
    <t>DET 44 - WSH 22 (F)</t>
  </si>
  <si>
    <t>PIT 10 - LAC 25 (F)</t>
  </si>
  <si>
    <t>PHI 10 - GB 7 (F)</t>
  </si>
  <si>
    <t>NYJ 14 - NE 27 (F)</t>
  </si>
  <si>
    <t>WSH 13 - MIA 16 (F)</t>
  </si>
  <si>
    <t>CAR 30 - ATL 27 (F)</t>
  </si>
  <si>
    <t>TB 32 - BUF 44 (F)</t>
  </si>
  <si>
    <t>HOU 16 - TEN 13 (F)</t>
  </si>
  <si>
    <t>CHI 19 - MIN 17 (F)</t>
  </si>
  <si>
    <t>GB 27 - NYG 20 (F)</t>
  </si>
  <si>
    <t>CIN 12 - PIT 34 (F)</t>
  </si>
  <si>
    <t>LAC 6 - JAX 35 (F)</t>
  </si>
  <si>
    <t>SEA 19 - LAR 21 (F)</t>
  </si>
  <si>
    <t>SF 41 - ARI 22 (F)</t>
  </si>
  <si>
    <t>BAL 23 - CLE 16 (F)</t>
  </si>
  <si>
    <t>KC 19 - DEN 22 (F)</t>
  </si>
  <si>
    <t>DET 9 - PHI 16 (F)</t>
  </si>
  <si>
    <t>DAL 33 - LV 16 (F)</t>
  </si>
  <si>
    <t>BUF 19 - HOU 23 (F)</t>
  </si>
  <si>
    <t>PIT 28 - CHI 31 (F)</t>
  </si>
  <si>
    <t>NE 26 - CIN 20 (F)</t>
  </si>
  <si>
    <t>NYG 27 - DET 34 (F)</t>
  </si>
  <si>
    <t>MIN 6 - GB 23 (F)</t>
  </si>
  <si>
    <t>SEA 30 - TEN 24 (F)</t>
  </si>
  <si>
    <t>IND 20 - KC 23 (F)</t>
  </si>
  <si>
    <t>NYJ 10 - BAL 23 (F)</t>
  </si>
  <si>
    <t>CLE 24 - LV 10 (F)</t>
  </si>
  <si>
    <t>ATL 24 - NO 10 (F)</t>
  </si>
  <si>
    <t>JAX 27 - ARI 24 (F)</t>
  </si>
  <si>
    <t>PHI 21 - DAL 24 (F)</t>
  </si>
  <si>
    <t>TB 7 - LAR 34 (F)</t>
  </si>
  <si>
    <t>CAR 9 - SF 20 (F)</t>
  </si>
  <si>
    <t>GB 31 - DET 24 (F)</t>
  </si>
  <si>
    <t>KC 28 - DAL 31 (F)</t>
  </si>
  <si>
    <t>CIN 32 - BAL 14 (F)</t>
  </si>
  <si>
    <t>CHI 24 - PHI 15 (F)</t>
  </si>
  <si>
    <t>SF 26 - CLE 8 (F)</t>
  </si>
  <si>
    <t>JAX 25 - TEN 3 (F)</t>
  </si>
  <si>
    <t>HOU 20 - IND 16 (F)</t>
  </si>
  <si>
    <t>NO 17 - MIA 21 (F)</t>
  </si>
  <si>
    <t>ATL 24 - NYJ 27 (F)</t>
  </si>
  <si>
    <t>ARI 17 - TB 20 (F)</t>
  </si>
  <si>
    <t>LAR 28 - CAR 31 (F)</t>
  </si>
  <si>
    <t>MIN 0 - SEA 26 (F)</t>
  </si>
  <si>
    <t>BUF 26 - PIT 7 (F)</t>
  </si>
  <si>
    <t>LV 14 - LAC 31 (F)</t>
  </si>
  <si>
    <t>DEN 27 - WSH 26 (F)</t>
  </si>
  <si>
    <t>NYG 15 - NE 33 (F)</t>
  </si>
  <si>
    <t>DAL 30 - DET 44 (F)</t>
  </si>
  <si>
    <t>SEA 37 - ATL 9 (F)</t>
  </si>
  <si>
    <t>TEN 31 - CLE 29 (F)</t>
  </si>
  <si>
    <t>CHI 21 - GB 28 (F)</t>
  </si>
  <si>
    <t>WSH 0 - MIN 31 (F)</t>
  </si>
  <si>
    <t>MIA 34 - NYJ 10 (F)</t>
  </si>
  <si>
    <t>NO 24 - TB 20 (F)</t>
  </si>
  <si>
    <t>IND 19 - JAX 36 (F)</t>
  </si>
  <si>
    <t>PIT 27 - BAL 22 (F)</t>
  </si>
  <si>
    <t>DEN 24 - LV 17 (F)</t>
  </si>
  <si>
    <t>CIN 34 - BUF 39 (F)</t>
  </si>
  <si>
    <t>LAR 45 - ARI 17 (F)</t>
  </si>
  <si>
    <t>HOU 20 - KC 10 (F)</t>
  </si>
  <si>
    <t>DN</t>
  </si>
  <si>
    <t>ATL 29 - TB 28 (F)</t>
  </si>
  <si>
    <t>BAL 24 - CIN 0 (F)</t>
  </si>
  <si>
    <t>LV 0 - PHI 31 (F)</t>
  </si>
  <si>
    <t>CLE 3 - CHI 31 (F)</t>
  </si>
  <si>
    <t>LAC 16 - KC 13 (F)</t>
  </si>
  <si>
    <t>BUF 35 - NE 31 (F)</t>
  </si>
  <si>
    <t>WSH 29 - NYG 21 (F)</t>
  </si>
  <si>
    <t>NYJ 20 - JAX 48 (F)</t>
  </si>
  <si>
    <t>ARI 20 - HOU 40 (F)</t>
  </si>
  <si>
    <t>GB 26 - DEN 34 (F)</t>
  </si>
  <si>
    <t>DET 34 - LAR 41 (F)</t>
  </si>
  <si>
    <t>CAR 17 - NO 20 (F)</t>
  </si>
  <si>
    <t>TEN 24 - SF 37 (F)</t>
  </si>
  <si>
    <t>IND 16 - SEA 18 (F)</t>
  </si>
  <si>
    <t>MIN 34 - DAL 26 (F)</t>
  </si>
  <si>
    <t>MIA 15 - PIT 28 (F)</t>
  </si>
  <si>
    <t>LAR 37 - SEA 38 (F)</t>
  </si>
  <si>
    <t>GB 16 - CHI 22 (F)</t>
  </si>
  <si>
    <t>PHI 29 - WSH 18 (F)</t>
  </si>
  <si>
    <t>BUF 23 - CLE 20 (F)</t>
  </si>
  <si>
    <t>LAC 34 - DAL 17 (F)</t>
  </si>
  <si>
    <t>KC 9 - TEN 26 (F)</t>
  </si>
  <si>
    <t>NYJ 6 - NO 29 (F)</t>
  </si>
  <si>
    <t>MIN 16 - NYG 13 (F)</t>
  </si>
  <si>
    <t>TB 20 - CAR 23 (F)</t>
  </si>
  <si>
    <t>CIN 45 - MIA 21 (F)</t>
  </si>
  <si>
    <t>NE 28 - BAL 24 (F)</t>
  </si>
  <si>
    <t>JAX 34 - DEN 20 (F)</t>
  </si>
  <si>
    <t>ATL 26 - ARI 19 (F)</t>
  </si>
  <si>
    <t>PIT 29 - DET 24 (F)</t>
  </si>
  <si>
    <t>LV 21 - HOU 23 (F)</t>
  </si>
  <si>
    <t>DAL 30 - WSH 23 (F)</t>
  </si>
  <si>
    <t>DET 10 - MIN 23 (F)</t>
  </si>
  <si>
    <t>DEN 20 - KC 13 (F)</t>
  </si>
  <si>
    <t>BAL 41 - GB 24 (F)</t>
  </si>
  <si>
    <t>HOU 20 - LAC 16 (F)</t>
  </si>
  <si>
    <t>ARI 14 - CIN 37 (F)</t>
  </si>
  <si>
    <t>SEA 27 - CAR 10 (F)</t>
  </si>
  <si>
    <t>TB 17 - MIA 20 (F)</t>
  </si>
  <si>
    <t>NE 42 - NYJ 10 (F)</t>
  </si>
  <si>
    <t>PIT 6 - CLE 13 (F)</t>
  </si>
  <si>
    <t>NO 34 - TEN 26 (F)</t>
  </si>
  <si>
    <t>JAX 23 - IND 17 (F)</t>
  </si>
  <si>
    <t>NYG 34 - LV 10 (F)</t>
  </si>
  <si>
    <t>PHI 13 - BUF 12 (F)</t>
  </si>
  <si>
    <t>CHI 38 - SF 42 (F)</t>
  </si>
  <si>
    <t>LAR 24 - ATL 27 (F)</t>
  </si>
  <si>
    <t>NO 17 - ATL 19 (F)</t>
  </si>
  <si>
    <t>CLE 20 - CIN 18 (F)</t>
  </si>
  <si>
    <t>GB 3 - MIN 16 (F)</t>
  </si>
  <si>
    <t>DAL 17 - NYG 34 (F)</t>
  </si>
  <si>
    <t>SEA 13 - SF 3 (F)</t>
  </si>
  <si>
    <t>CAR 14 - TB 16 (F)</t>
  </si>
  <si>
    <t>TEN 7 - JAX 41 (F)</t>
  </si>
  <si>
    <t>IND 30 - HOU 38 (F)</t>
  </si>
  <si>
    <t>ARI 20 - LAR 37 (F)</t>
  </si>
  <si>
    <t>NYJ 8 - BUF 35 (F)</t>
  </si>
  <si>
    <t>MIA 10 - NE 38 (F)</t>
  </si>
  <si>
    <t>KC 12 - LV 14 (F)</t>
  </si>
  <si>
    <t>WSH 24 - PHI 17 (F)</t>
  </si>
  <si>
    <t>DET 19 - CHI 16 (F)</t>
  </si>
  <si>
    <t>LAC 3 - DEN 19 (F)</t>
  </si>
  <si>
    <t>BAL 24 - PIT 26 (F)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</si>
</sst>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1"/>
      <color theme="1"/>
      <name val="Aptos Narrow"/>
      <family val="2"/>
      <scheme val="minor"/>
    </font>
    <font>
      <sz val="18"/>
      <color theme="1"/>
      <name val="Gentium Book Basic"/>
    </font>
    <font>
      <sz val="11"/>
      <color theme="1"/>
      <name val="Gentium Book Basic"/>
    </font>
    <font>
      <b/>
      <sz val="11"/>
      <color theme="1"/>
      <name val="Gentium Book Basic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0"/>
      <name val="Gentium Book Basic"/>
    </font>
    <font>
      <b/>
      <sz val="10"/>
      <color theme="1"/>
      <name val="Gentium Book Basic"/>
    </font>
    <font>
      <b/>
      <sz val="11"/>
      <color theme="0"/>
      <name val="Gentium Book Basic"/>
    </font>
    <font>
      <u/>
      <sz val="11"/>
      <color theme="10"/>
      <name val="Aptos Narrow"/>
      <family val="2"/>
      <scheme val="minor"/>
    </font>
    <font>
      <sz val="11"/>
      <color theme="3" tint="9.9978637043366805E-2"/>
      <name val="Gentium Book Basic"/>
    </font>
    <font>
      <sz val="18"/>
      <color theme="1"/>
      <name val="Aptos Narrow"/>
      <family val="2"/>
      <scheme val="minor"/>
    </font>
    <font>
      <sz val="18"/>
      <color theme="0"/>
      <name val="Gentium Book Basic"/>
    </font>
    <font>
      <b/>
      <vertAlign val="subscript"/>
      <sz val="11"/>
      <color theme="0"/>
      <name val="Gentium Book Basic"/>
    </font>
    <font>
      <b/>
      <vertAlign val="superscript"/>
      <sz val="11"/>
      <color theme="0"/>
      <name val="Gentium Book Basic"/>
    </font>
    <font>
      <b/>
      <sz val="24"/>
      <color theme="3" tint="9.9978637043366805E-2"/>
      <name val="Gentium Book Basic"/>
    </font>
    <font>
      <sz val="11"/>
      <color theme="3" tint="9.9978637043366805E-2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1"/>
      <color rgb="FF000000"/>
      <name val="Aptos Narrow"/>
    </font>
    <font>
      <b/>
      <sz val="14"/>
      <color theme="0"/>
      <name val="Gentium Book Basic"/>
    </font>
    <font>
      <sz val="11"/>
      <color theme="1"/>
      <name val="Aptos Narrow"/>
      <family val="2"/>
    </font>
    <font>
      <sz val="11"/>
      <color rgb="FF000000"/>
      <name val="Aptos Narrow"/>
      <family val="2"/>
    </font>
    <font>
      <sz val="11"/>
      <color rgb="FF00000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9.9978637043366805E-2"/>
        <bgColor indexed="64"/>
      </patternFill>
    </fill>
    <fill>
      <patternFill patternType="solid">
        <fgColor rgb="FF153D64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92D050"/>
        <bgColor rgb="FF000000"/>
      </patternFill>
    </fill>
  </fills>
  <borders count="9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3" tint="9.9978637043366805E-2"/>
      </left>
      <right style="thin">
        <color theme="3" tint="9.9978637043366805E-2"/>
      </right>
      <top style="thin">
        <color theme="3" tint="9.9978637043366805E-2"/>
      </top>
      <bottom style="thin">
        <color theme="3" tint="9.9978637043366805E-2"/>
      </bottom>
      <diagonal/>
    </border>
    <border>
      <left style="thin">
        <color theme="3" tint="9.9978637043366805E-2"/>
      </left>
      <right style="thin">
        <color theme="3" tint="9.9978637043366805E-2"/>
      </right>
      <top/>
      <bottom/>
      <diagonal/>
    </border>
    <border>
      <left style="thin">
        <color theme="3" tint="9.9978637043366805E-2"/>
      </left>
      <right style="thin">
        <color theme="3" tint="9.9978637043366805E-2"/>
      </right>
      <top style="thin">
        <color theme="3" tint="9.9978637043366805E-2"/>
      </top>
      <bottom/>
      <diagonal/>
    </border>
    <border>
      <left style="thin">
        <color theme="3" tint="9.9978637043366805E-2"/>
      </left>
      <right style="thin">
        <color indexed="64"/>
      </right>
      <top style="thin">
        <color theme="3" tint="9.9978637043366805E-2"/>
      </top>
      <bottom style="thin">
        <color theme="3" tint="9.9978637043366805E-2"/>
      </bottom>
      <diagonal/>
    </border>
    <border>
      <left style="thin">
        <color indexed="64"/>
      </left>
      <right/>
      <top style="thin">
        <color theme="3" tint="9.9978637043366805E-2"/>
      </top>
      <bottom style="thin">
        <color theme="3" tint="9.9978637043366805E-2"/>
      </bottom>
      <diagonal/>
    </border>
    <border>
      <left style="thin">
        <color indexed="64"/>
      </left>
      <right style="thin">
        <color indexed="64"/>
      </right>
      <top style="thin">
        <color theme="3" tint="9.9978637043366805E-2"/>
      </top>
      <bottom style="thin">
        <color theme="3" tint="9.9978637043366805E-2"/>
      </bottom>
      <diagonal/>
    </border>
    <border>
      <left/>
      <right style="thin">
        <color indexed="64"/>
      </right>
      <top style="thin">
        <color theme="3" tint="9.9978637043366805E-2"/>
      </top>
      <bottom style="thin">
        <color theme="3" tint="9.9978637043366805E-2"/>
      </bottom>
      <diagonal/>
    </border>
    <border>
      <left/>
      <right/>
      <top style="thin">
        <color theme="3" tint="9.9978637043366805E-2"/>
      </top>
      <bottom style="thin">
        <color theme="3" tint="9.9978637043366805E-2"/>
      </bottom>
      <diagonal/>
    </border>
    <border>
      <left/>
      <right/>
      <top style="thin">
        <color theme="3" tint="9.9978637043366805E-2"/>
      </top>
      <bottom/>
      <diagonal/>
    </border>
    <border>
      <left style="thin">
        <color indexed="64"/>
      </left>
      <right style="thin">
        <color indexed="64"/>
      </right>
      <top style="thin">
        <color theme="3" tint="9.9978637043366805E-2"/>
      </top>
      <bottom/>
      <diagonal/>
    </border>
    <border>
      <left/>
      <right style="thin">
        <color indexed="64"/>
      </right>
      <top style="thin">
        <color theme="3" tint="9.9978637043366805E-2"/>
      </top>
      <bottom/>
      <diagonal/>
    </border>
    <border>
      <left/>
      <right style="thin">
        <color theme="3" tint="9.9978637043366805E-2"/>
      </right>
      <top style="thin">
        <color theme="3" tint="9.9978637043366805E-2"/>
      </top>
      <bottom/>
      <diagonal/>
    </border>
    <border>
      <left/>
      <right style="thin">
        <color theme="3" tint="9.9978637043366805E-2"/>
      </right>
      <top style="thin">
        <color theme="3" tint="9.9978637043366805E-2"/>
      </top>
      <bottom style="thin">
        <color theme="3" tint="9.9978637043366805E-2"/>
      </bottom>
      <diagonal/>
    </border>
    <border>
      <left/>
      <right style="thin">
        <color theme="3" tint="9.9978637043366805E-2"/>
      </right>
      <top/>
      <bottom/>
      <diagonal/>
    </border>
    <border>
      <left/>
      <right/>
      <top style="thick">
        <color theme="0"/>
      </top>
      <bottom/>
      <diagonal/>
    </border>
    <border>
      <left style="thin">
        <color indexed="64"/>
      </left>
      <right style="thick">
        <color theme="0"/>
      </right>
      <top style="thin">
        <color theme="3" tint="9.9978637043366805E-2"/>
      </top>
      <bottom style="thin">
        <color theme="3" tint="9.9978637043366805E-2"/>
      </bottom>
      <diagonal/>
    </border>
    <border>
      <left style="thin">
        <color indexed="64"/>
      </left>
      <right style="thick">
        <color theme="0"/>
      </right>
      <top/>
      <bottom/>
      <diagonal/>
    </border>
    <border>
      <left/>
      <right/>
      <top style="thin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/>
      <right/>
      <top style="thick">
        <color theme="0"/>
      </top>
      <bottom style="thin">
        <color theme="0"/>
      </bottom>
      <diagonal/>
    </border>
    <border>
      <left style="thick">
        <color theme="0"/>
      </left>
      <right/>
      <top style="thick">
        <color theme="0"/>
      </top>
      <bottom style="thin">
        <color theme="0"/>
      </bottom>
      <diagonal/>
    </border>
    <border>
      <left style="thick">
        <color theme="0"/>
      </left>
      <right/>
      <top style="thin">
        <color theme="0"/>
      </top>
      <bottom style="thick">
        <color theme="0"/>
      </bottom>
      <diagonal/>
    </border>
    <border diagonalDown="1">
      <left style="thick">
        <color theme="0"/>
      </left>
      <right style="thick">
        <color theme="0"/>
      </right>
      <top style="thick">
        <color theme="0"/>
      </top>
      <bottom style="thin">
        <color theme="0"/>
      </bottom>
      <diagonal style="thin">
        <color theme="0"/>
      </diagonal>
    </border>
    <border diagonalDown="1"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 style="thin">
        <color theme="0"/>
      </diagonal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/>
      <right style="thin">
        <color indexed="64"/>
      </right>
      <top style="thin">
        <color theme="3" tint="9.9978637043366805E-2"/>
      </top>
      <bottom style="thick">
        <color theme="3" tint="9.9978637043366805E-2"/>
      </bottom>
      <diagonal/>
    </border>
    <border>
      <left style="thin">
        <color indexed="64"/>
      </left>
      <right/>
      <top style="thin">
        <color theme="3" tint="9.9978637043366805E-2"/>
      </top>
      <bottom style="thick">
        <color theme="3" tint="9.9978637043366805E-2"/>
      </bottom>
      <diagonal/>
    </border>
    <border>
      <left style="thin">
        <color indexed="64"/>
      </left>
      <right style="thin">
        <color indexed="64"/>
      </right>
      <top style="thin">
        <color theme="3" tint="9.9978637043366805E-2"/>
      </top>
      <bottom style="thick">
        <color theme="3" tint="9.9978637043366805E-2"/>
      </bottom>
      <diagonal/>
    </border>
    <border>
      <left style="thin">
        <color indexed="64"/>
      </left>
      <right style="thick">
        <color theme="0"/>
      </right>
      <top style="thin">
        <color theme="3" tint="9.9978637043366805E-2"/>
      </top>
      <bottom style="thick">
        <color theme="3" tint="9.9978637043366805E-2"/>
      </bottom>
      <diagonal/>
    </border>
    <border>
      <left style="thick">
        <color theme="0"/>
      </left>
      <right style="thin">
        <color theme="3" tint="9.9978637043366805E-2"/>
      </right>
      <top style="thin">
        <color theme="3" tint="9.9978637043366805E-2"/>
      </top>
      <bottom style="thick">
        <color theme="3" tint="9.9978637043366805E-2"/>
      </bottom>
      <diagonal/>
    </border>
    <border>
      <left/>
      <right/>
      <top/>
      <bottom style="thick">
        <color theme="0"/>
      </bottom>
      <diagonal/>
    </border>
    <border>
      <left style="medium">
        <color theme="3" tint="9.9978637043366805E-2"/>
      </left>
      <right/>
      <top style="medium">
        <color theme="3" tint="9.9978637043366805E-2"/>
      </top>
      <bottom style="medium">
        <color theme="3" tint="9.9978637043366805E-2"/>
      </bottom>
      <diagonal/>
    </border>
    <border>
      <left/>
      <right/>
      <top style="medium">
        <color theme="3" tint="9.9978637043366805E-2"/>
      </top>
      <bottom style="medium">
        <color theme="3" tint="9.9978637043366805E-2"/>
      </bottom>
      <diagonal/>
    </border>
    <border>
      <left/>
      <right style="medium">
        <color theme="3" tint="9.9978637043366805E-2"/>
      </right>
      <top style="medium">
        <color theme="3" tint="9.9978637043366805E-2"/>
      </top>
      <bottom style="medium">
        <color theme="3" tint="9.9978637043366805E-2"/>
      </bottom>
      <diagonal/>
    </border>
    <border>
      <left/>
      <right style="thin">
        <color theme="3" tint="9.9978637043366805E-2"/>
      </right>
      <top style="medium">
        <color theme="3" tint="9.9978637043366805E-2"/>
      </top>
      <bottom/>
      <diagonal/>
    </border>
    <border>
      <left/>
      <right style="thick">
        <color theme="3" tint="9.9978637043366805E-2"/>
      </right>
      <top/>
      <bottom/>
      <diagonal/>
    </border>
    <border>
      <left/>
      <right/>
      <top style="medium">
        <color theme="3" tint="9.9978637043366805E-2"/>
      </top>
      <bottom/>
      <diagonal/>
    </border>
    <border>
      <left/>
      <right/>
      <top/>
      <bottom style="thick">
        <color theme="3" tint="9.9978637043366805E-2"/>
      </bottom>
      <diagonal/>
    </border>
    <border>
      <left/>
      <right style="thick">
        <color theme="0"/>
      </right>
      <top/>
      <bottom/>
      <diagonal/>
    </border>
    <border>
      <left style="thick">
        <color theme="3" tint="9.9978637043366805E-2"/>
      </left>
      <right/>
      <top/>
      <bottom style="thick">
        <color theme="3" tint="9.9978637043366805E-2"/>
      </bottom>
      <diagonal/>
    </border>
    <border>
      <left/>
      <right style="thin">
        <color theme="3" tint="9.9978637043366805E-2"/>
      </right>
      <top/>
      <bottom style="thick">
        <color theme="3" tint="9.9978637043366805E-2"/>
      </bottom>
      <diagonal/>
    </border>
    <border>
      <left style="thick">
        <color theme="3" tint="9.9978637043366805E-2"/>
      </left>
      <right/>
      <top/>
      <bottom style="medium">
        <color theme="3" tint="9.9978637043366805E-2"/>
      </bottom>
      <diagonal/>
    </border>
    <border>
      <left style="thin">
        <color indexed="64"/>
      </left>
      <right style="thick">
        <color theme="0"/>
      </right>
      <top style="thin">
        <color theme="3" tint="9.9978637043366805E-2"/>
      </top>
      <bottom/>
      <diagonal/>
    </border>
    <border>
      <left style="thin">
        <color indexed="64"/>
      </left>
      <right style="thick">
        <color theme="0"/>
      </right>
      <top/>
      <bottom style="thin">
        <color theme="3" tint="9.9978637043366805E-2"/>
      </bottom>
      <diagonal/>
    </border>
    <border>
      <left style="thin">
        <color theme="0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/>
      <diagonal/>
    </border>
    <border>
      <left style="medium">
        <color theme="3"/>
      </left>
      <right style="medium">
        <color theme="3"/>
      </right>
      <top/>
      <bottom/>
      <diagonal/>
    </border>
    <border>
      <left style="medium">
        <color theme="3"/>
      </left>
      <right style="medium">
        <color theme="3"/>
      </right>
      <top/>
      <bottom style="medium">
        <color theme="3"/>
      </bottom>
      <diagonal/>
    </border>
    <border>
      <left style="thin">
        <color indexed="64"/>
      </left>
      <right style="thick">
        <color rgb="FFFFFFFF"/>
      </right>
      <top/>
      <bottom/>
      <diagonal/>
    </border>
    <border>
      <left style="thin">
        <color rgb="FF153D64"/>
      </left>
      <right style="thin">
        <color rgb="FF153D64"/>
      </right>
      <top style="thin">
        <color rgb="FF153D64"/>
      </top>
      <bottom/>
      <diagonal/>
    </border>
    <border>
      <left/>
      <right/>
      <top style="thin">
        <color rgb="FF153D64"/>
      </top>
      <bottom/>
      <diagonal/>
    </border>
    <border>
      <left style="thin">
        <color indexed="64"/>
      </left>
      <right style="thin">
        <color indexed="64"/>
      </right>
      <top style="thin">
        <color rgb="FF153D64"/>
      </top>
      <bottom/>
      <diagonal/>
    </border>
    <border>
      <left/>
      <right style="thin">
        <color indexed="64"/>
      </right>
      <top style="thin">
        <color rgb="FF153D64"/>
      </top>
      <bottom/>
      <diagonal/>
    </border>
    <border>
      <left style="thin">
        <color indexed="64"/>
      </left>
      <right style="thick">
        <color rgb="FFFFFFFF"/>
      </right>
      <top style="thin">
        <color rgb="FF153D64"/>
      </top>
      <bottom style="thin">
        <color rgb="FF153D64"/>
      </bottom>
      <diagonal/>
    </border>
    <border>
      <left style="thin">
        <color rgb="FF153D64"/>
      </left>
      <right style="thin">
        <color rgb="FF153D64"/>
      </right>
      <top style="thin">
        <color rgb="FF153D64"/>
      </top>
      <bottom style="thin">
        <color rgb="FF153D64"/>
      </bottom>
      <diagonal/>
    </border>
    <border>
      <left/>
      <right/>
      <top style="thin">
        <color rgb="FF153D64"/>
      </top>
      <bottom style="thin">
        <color rgb="FF153D64"/>
      </bottom>
      <diagonal/>
    </border>
    <border>
      <left style="thin">
        <color indexed="64"/>
      </left>
      <right style="thin">
        <color indexed="64"/>
      </right>
      <top style="thin">
        <color rgb="FF153D64"/>
      </top>
      <bottom style="thin">
        <color rgb="FF153D64"/>
      </bottom>
      <diagonal/>
    </border>
    <border>
      <left/>
      <right style="thin">
        <color indexed="64"/>
      </right>
      <top style="thin">
        <color rgb="FF153D64"/>
      </top>
      <bottom style="thin">
        <color rgb="FF153D64"/>
      </bottom>
      <diagonal/>
    </border>
    <border>
      <left style="thin">
        <color rgb="FF153D64"/>
      </left>
      <right style="thin">
        <color rgb="FF153D64"/>
      </right>
      <top/>
      <bottom/>
      <diagonal/>
    </border>
    <border>
      <left style="thin">
        <color rgb="FF153D64"/>
      </left>
      <right style="thin">
        <color indexed="64"/>
      </right>
      <top style="thin">
        <color rgb="FF153D64"/>
      </top>
      <bottom style="thin">
        <color rgb="FF153D64"/>
      </bottom>
      <diagonal/>
    </border>
    <border>
      <left style="thin">
        <color indexed="64"/>
      </left>
      <right/>
      <top style="thin">
        <color rgb="FF153D64"/>
      </top>
      <bottom style="thin">
        <color rgb="FF153D64"/>
      </bottom>
      <diagonal/>
    </border>
    <border>
      <left/>
      <right style="thin">
        <color indexed="64"/>
      </right>
      <top style="thin">
        <color rgb="FF153D64"/>
      </top>
      <bottom style="thick">
        <color rgb="FF153D64"/>
      </bottom>
      <diagonal/>
    </border>
    <border>
      <left style="thin">
        <color indexed="64"/>
      </left>
      <right/>
      <top style="thin">
        <color rgb="FF153D64"/>
      </top>
      <bottom style="thick">
        <color rgb="FF153D64"/>
      </bottom>
      <diagonal/>
    </border>
    <border>
      <left style="thin">
        <color indexed="64"/>
      </left>
      <right style="thin">
        <color indexed="64"/>
      </right>
      <top style="thin">
        <color rgb="FF153D64"/>
      </top>
      <bottom style="thick">
        <color rgb="FF153D64"/>
      </bottom>
      <diagonal/>
    </border>
    <border>
      <left style="thin">
        <color indexed="64"/>
      </left>
      <right style="thick">
        <color rgb="FFFFFFFF"/>
      </right>
      <top style="thin">
        <color rgb="FF153D64"/>
      </top>
      <bottom style="thick">
        <color rgb="FF153D64"/>
      </bottom>
      <diagonal/>
    </border>
    <border>
      <left/>
      <right style="thick">
        <color rgb="FFFFFFFF"/>
      </right>
      <top style="thin">
        <color rgb="FF153D64"/>
      </top>
      <bottom style="thin">
        <color rgb="FF153D64"/>
      </bottom>
      <diagonal/>
    </border>
    <border>
      <left/>
      <right style="thick">
        <color rgb="FFFFFFFF"/>
      </right>
      <top/>
      <bottom style="thin">
        <color rgb="FF153D64"/>
      </bottom>
      <diagonal/>
    </border>
    <border>
      <left style="thin">
        <color rgb="FF153D64"/>
      </left>
      <right style="thin">
        <color rgb="FF153D64"/>
      </right>
      <top/>
      <bottom style="thin">
        <color rgb="FF153D64"/>
      </bottom>
      <diagonal/>
    </border>
    <border>
      <left/>
      <right/>
      <top/>
      <bottom style="thin">
        <color rgb="FF153D64"/>
      </bottom>
      <diagonal/>
    </border>
    <border>
      <left style="thin">
        <color indexed="64"/>
      </left>
      <right style="thin">
        <color indexed="64"/>
      </right>
      <top/>
      <bottom style="thin">
        <color rgb="FF153D64"/>
      </bottom>
      <diagonal/>
    </border>
    <border>
      <left/>
      <right style="thin">
        <color indexed="64"/>
      </right>
      <top/>
      <bottom style="thin">
        <color rgb="FF153D64"/>
      </bottom>
      <diagonal/>
    </border>
    <border>
      <left/>
      <right style="thick">
        <color rgb="FFFFFFFF"/>
      </right>
      <top/>
      <bottom/>
      <diagonal/>
    </border>
    <border>
      <left style="thin">
        <color rgb="FF153D64"/>
      </left>
      <right style="thin">
        <color indexed="64"/>
      </right>
      <top/>
      <bottom style="thin">
        <color rgb="FF153D64"/>
      </bottom>
      <diagonal/>
    </border>
    <border>
      <left/>
      <right style="thin">
        <color indexed="64"/>
      </right>
      <top/>
      <bottom style="thick">
        <color rgb="FF153D64"/>
      </bottom>
      <diagonal/>
    </border>
    <border>
      <left/>
      <right/>
      <top/>
      <bottom style="thick">
        <color rgb="FF153D64"/>
      </bottom>
      <diagonal/>
    </border>
    <border>
      <left style="thin">
        <color indexed="64"/>
      </left>
      <right style="thin">
        <color indexed="64"/>
      </right>
      <top/>
      <bottom style="thick">
        <color rgb="FF153D64"/>
      </bottom>
      <diagonal/>
    </border>
    <border>
      <left/>
      <right style="thick">
        <color rgb="FFFFFFFF"/>
      </right>
      <top/>
      <bottom style="thick">
        <color rgb="FF153D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209">
    <xf numFmtId="0" fontId="0" fillId="0" borderId="0" xfId="0"/>
    <xf numFmtId="49" fontId="0" fillId="0" borderId="0" xfId="0" applyNumberFormat="1"/>
    <xf numFmtId="0" fontId="2" fillId="0" borderId="0" xfId="0" applyFont="1"/>
    <xf numFmtId="0" fontId="2" fillId="2" borderId="3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0" xfId="0" applyFont="1" applyFill="1"/>
    <xf numFmtId="49" fontId="2" fillId="2" borderId="0" xfId="0" applyNumberFormat="1" applyFont="1" applyFill="1"/>
    <xf numFmtId="0" fontId="7" fillId="2" borderId="0" xfId="0" applyFont="1" applyFill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3" fillId="0" borderId="0" xfId="0" applyNumberFormat="1" applyFont="1" applyAlignment="1">
      <alignment horizontal="center"/>
    </xf>
    <xf numFmtId="0" fontId="11" fillId="2" borderId="0" xfId="0" applyFont="1" applyFill="1"/>
    <xf numFmtId="0" fontId="0" fillId="2" borderId="0" xfId="0" applyFill="1"/>
    <xf numFmtId="0" fontId="0" fillId="0" borderId="24" xfId="0" applyBorder="1"/>
    <xf numFmtId="49" fontId="2" fillId="2" borderId="43" xfId="0" applyNumberFormat="1" applyFont="1" applyFill="1" applyBorder="1"/>
    <xf numFmtId="0" fontId="2" fillId="2" borderId="43" xfId="0" applyFont="1" applyFill="1" applyBorder="1"/>
    <xf numFmtId="0" fontId="2" fillId="2" borderId="47" xfId="0" applyFont="1" applyFill="1" applyBorder="1"/>
    <xf numFmtId="0" fontId="2" fillId="2" borderId="23" xfId="0" applyFont="1" applyFill="1" applyBorder="1"/>
    <xf numFmtId="0" fontId="0" fillId="2" borderId="23" xfId="0" applyFill="1" applyBorder="1"/>
    <xf numFmtId="0" fontId="2" fillId="2" borderId="49" xfId="0" applyFont="1" applyFill="1" applyBorder="1"/>
    <xf numFmtId="0" fontId="0" fillId="0" borderId="48" xfId="0" applyBorder="1"/>
    <xf numFmtId="0" fontId="2" fillId="2" borderId="51" xfId="0" applyFont="1" applyFill="1" applyBorder="1"/>
    <xf numFmtId="0" fontId="0" fillId="2" borderId="52" xfId="0" applyFill="1" applyBorder="1"/>
    <xf numFmtId="49" fontId="12" fillId="2" borderId="50" xfId="0" applyNumberFormat="1" applyFont="1" applyFill="1" applyBorder="1" applyAlignment="1">
      <alignment vertical="center"/>
    </xf>
    <xf numFmtId="0" fontId="12" fillId="2" borderId="50" xfId="0" applyFont="1" applyFill="1" applyBorder="1" applyAlignment="1">
      <alignment vertical="center"/>
    </xf>
    <xf numFmtId="0" fontId="0" fillId="2" borderId="50" xfId="0" applyFill="1" applyBorder="1"/>
    <xf numFmtId="0" fontId="0" fillId="2" borderId="53" xfId="0" applyFill="1" applyBorder="1"/>
    <xf numFmtId="0" fontId="16" fillId="2" borderId="44" xfId="0" applyFont="1" applyFill="1" applyBorder="1"/>
    <xf numFmtId="0" fontId="16" fillId="2" borderId="46" xfId="0" applyFont="1" applyFill="1" applyBorder="1"/>
    <xf numFmtId="0" fontId="17" fillId="2" borderId="0" xfId="0" applyFont="1" applyFill="1"/>
    <xf numFmtId="49" fontId="17" fillId="2" borderId="0" xfId="0" applyNumberFormat="1" applyFont="1" applyFill="1"/>
    <xf numFmtId="0" fontId="17" fillId="2" borderId="54" xfId="0" applyFont="1" applyFill="1" applyBorder="1"/>
    <xf numFmtId="49" fontId="1" fillId="2" borderId="50" xfId="0" applyNumberFormat="1" applyFont="1" applyFill="1" applyBorder="1" applyAlignment="1">
      <alignment vertical="center"/>
    </xf>
    <xf numFmtId="0" fontId="1" fillId="2" borderId="50" xfId="0" applyFont="1" applyFill="1" applyBorder="1" applyAlignment="1">
      <alignment vertical="center"/>
    </xf>
    <xf numFmtId="0" fontId="2" fillId="2" borderId="50" xfId="0" applyFont="1" applyFill="1" applyBorder="1"/>
    <xf numFmtId="0" fontId="2" fillId="2" borderId="53" xfId="0" applyFont="1" applyFill="1" applyBorder="1"/>
    <xf numFmtId="0" fontId="4" fillId="2" borderId="0" xfId="0" applyFont="1" applyFill="1"/>
    <xf numFmtId="49" fontId="4" fillId="2" borderId="1" xfId="0" applyNumberFormat="1" applyFont="1" applyFill="1" applyBorder="1"/>
    <xf numFmtId="0" fontId="4" fillId="2" borderId="3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49" fontId="4" fillId="2" borderId="0" xfId="0" applyNumberFormat="1" applyFont="1" applyFill="1"/>
    <xf numFmtId="49" fontId="5" fillId="0" borderId="0" xfId="0" applyNumberFormat="1" applyFont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26" xfId="0" applyBorder="1" applyAlignment="1" applyProtection="1">
      <alignment horizontal="center"/>
      <protection locked="0"/>
    </xf>
    <xf numFmtId="0" fontId="0" fillId="2" borderId="0" xfId="0" applyFill="1" applyProtection="1"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0" borderId="18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/>
      <protection locked="0"/>
    </xf>
    <xf numFmtId="0" fontId="0" fillId="0" borderId="36" xfId="0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15" xfId="0" applyBorder="1" applyAlignment="1" applyProtection="1">
      <alignment horizontal="center"/>
      <protection locked="0"/>
    </xf>
    <xf numFmtId="0" fontId="0" fillId="0" borderId="16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14" xfId="0" applyBorder="1" applyAlignment="1" applyProtection="1">
      <alignment horizontal="center"/>
      <protection locked="0"/>
    </xf>
    <xf numFmtId="0" fontId="0" fillId="0" borderId="38" xfId="0" applyBorder="1" applyAlignment="1" applyProtection="1">
      <alignment horizontal="center"/>
      <protection locked="0"/>
    </xf>
    <xf numFmtId="0" fontId="0" fillId="0" borderId="39" xfId="0" applyBorder="1" applyAlignment="1" applyProtection="1">
      <alignment horizontal="center"/>
      <protection locked="0"/>
    </xf>
    <xf numFmtId="0" fontId="0" fillId="0" borderId="40" xfId="0" applyBorder="1" applyAlignment="1" applyProtection="1">
      <alignment horizontal="center"/>
      <protection locked="0"/>
    </xf>
    <xf numFmtId="0" fontId="0" fillId="0" borderId="41" xfId="0" applyBorder="1" applyAlignment="1" applyProtection="1">
      <alignment horizontal="center"/>
      <protection locked="0"/>
    </xf>
    <xf numFmtId="0" fontId="0" fillId="0" borderId="37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0" borderId="21" xfId="0" applyBorder="1" applyAlignment="1" applyProtection="1">
      <alignment horizontal="center"/>
      <protection locked="0"/>
    </xf>
    <xf numFmtId="0" fontId="0" fillId="0" borderId="22" xfId="0" applyBorder="1" applyAlignment="1" applyProtection="1">
      <alignment horizontal="center"/>
      <protection locked="0"/>
    </xf>
    <xf numFmtId="0" fontId="0" fillId="0" borderId="42" xfId="0" applyBorder="1" applyAlignment="1" applyProtection="1">
      <alignment horizontal="center"/>
      <protection locked="0"/>
    </xf>
    <xf numFmtId="0" fontId="0" fillId="0" borderId="23" xfId="1" applyFont="1" applyBorder="1" applyAlignment="1" applyProtection="1">
      <alignment horizontal="center"/>
      <protection locked="0"/>
    </xf>
    <xf numFmtId="0" fontId="4" fillId="0" borderId="3" xfId="0" applyFont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/>
      <protection locked="0"/>
    </xf>
    <xf numFmtId="0" fontId="4" fillId="0" borderId="26" xfId="0" applyFont="1" applyBorder="1" applyAlignment="1" applyProtection="1">
      <alignment horizontal="center"/>
      <protection locked="0"/>
    </xf>
    <xf numFmtId="0" fontId="4" fillId="0" borderId="21" xfId="0" applyFont="1" applyBorder="1" applyAlignment="1" applyProtection="1">
      <alignment horizontal="center"/>
      <protection locked="0"/>
    </xf>
    <xf numFmtId="0" fontId="4" fillId="0" borderId="19" xfId="0" applyFont="1" applyBorder="1" applyAlignment="1" applyProtection="1">
      <alignment horizontal="center"/>
      <protection locked="0"/>
    </xf>
    <xf numFmtId="0" fontId="4" fillId="0" borderId="20" xfId="0" applyFont="1" applyBorder="1" applyAlignment="1" applyProtection="1">
      <alignment horizontal="center"/>
      <protection locked="0"/>
    </xf>
    <xf numFmtId="0" fontId="4" fillId="0" borderId="25" xfId="0" applyFont="1" applyBorder="1" applyAlignment="1" applyProtection="1">
      <alignment horizontal="center"/>
      <protection locked="0"/>
    </xf>
    <xf numFmtId="0" fontId="4" fillId="0" borderId="22" xfId="0" applyFont="1" applyBorder="1" applyAlignment="1" applyProtection="1">
      <alignment horizontal="center"/>
      <protection locked="0"/>
    </xf>
    <xf numFmtId="0" fontId="4" fillId="0" borderId="10" xfId="0" applyFont="1" applyBorder="1" applyAlignment="1" applyProtection="1">
      <alignment horizontal="center"/>
      <protection locked="0"/>
    </xf>
    <xf numFmtId="0" fontId="4" fillId="0" borderId="17" xfId="0" applyFont="1" applyBorder="1" applyAlignment="1" applyProtection="1">
      <alignment horizontal="center"/>
      <protection locked="0"/>
    </xf>
    <xf numFmtId="0" fontId="4" fillId="0" borderId="15" xfId="0" applyFont="1" applyBorder="1" applyAlignment="1" applyProtection="1">
      <alignment horizontal="center"/>
      <protection locked="0"/>
    </xf>
    <xf numFmtId="0" fontId="4" fillId="0" borderId="16" xfId="0" applyFont="1" applyBorder="1" applyAlignment="1" applyProtection="1">
      <alignment horizontal="center"/>
      <protection locked="0"/>
    </xf>
    <xf numFmtId="0" fontId="4" fillId="0" borderId="23" xfId="0" applyFont="1" applyBorder="1" applyAlignment="1" applyProtection="1">
      <alignment horizontal="center"/>
      <protection locked="0"/>
    </xf>
    <xf numFmtId="0" fontId="4" fillId="0" borderId="11" xfId="0" applyFont="1" applyBorder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0" fontId="4" fillId="0" borderId="13" xfId="0" applyFont="1" applyBorder="1" applyAlignment="1" applyProtection="1">
      <alignment horizontal="center"/>
      <protection locked="0"/>
    </xf>
    <xf numFmtId="0" fontId="4" fillId="0" borderId="14" xfId="0" applyFont="1" applyBorder="1" applyAlignment="1" applyProtection="1">
      <alignment horizontal="center"/>
      <protection locked="0"/>
    </xf>
    <xf numFmtId="0" fontId="4" fillId="0" borderId="42" xfId="0" applyFont="1" applyBorder="1" applyAlignment="1" applyProtection="1">
      <alignment horizontal="center"/>
      <protection locked="0"/>
    </xf>
    <xf numFmtId="0" fontId="4" fillId="0" borderId="38" xfId="0" applyFont="1" applyBorder="1" applyAlignment="1" applyProtection="1">
      <alignment horizontal="center"/>
      <protection locked="0"/>
    </xf>
    <xf numFmtId="0" fontId="4" fillId="0" borderId="39" xfId="0" applyFont="1" applyBorder="1" applyAlignment="1" applyProtection="1">
      <alignment horizontal="center"/>
      <protection locked="0"/>
    </xf>
    <xf numFmtId="0" fontId="4" fillId="0" borderId="40" xfId="0" applyFont="1" applyBorder="1" applyAlignment="1" applyProtection="1">
      <alignment horizontal="center"/>
      <protection locked="0"/>
    </xf>
    <xf numFmtId="0" fontId="4" fillId="0" borderId="41" xfId="0" applyFont="1" applyBorder="1" applyAlignment="1" applyProtection="1">
      <alignment horizontal="center"/>
      <protection locked="0"/>
    </xf>
    <xf numFmtId="0" fontId="4" fillId="0" borderId="36" xfId="0" applyFont="1" applyBorder="1" applyAlignment="1" applyProtection="1">
      <alignment horizontal="center" vertical="center"/>
      <protection locked="0"/>
    </xf>
    <xf numFmtId="0" fontId="4" fillId="0" borderId="37" xfId="0" applyFont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/>
      <protection locked="0"/>
    </xf>
    <xf numFmtId="49" fontId="2" fillId="2" borderId="1" xfId="0" applyNumberFormat="1" applyFont="1" applyFill="1" applyBorder="1" applyAlignment="1">
      <alignment horizontal="center"/>
    </xf>
    <xf numFmtId="0" fontId="0" fillId="0" borderId="51" xfId="0" applyBorder="1" applyAlignment="1" applyProtection="1">
      <alignment horizontal="center"/>
      <protection locked="0"/>
    </xf>
    <xf numFmtId="0" fontId="0" fillId="0" borderId="55" xfId="0" applyBorder="1" applyAlignment="1" applyProtection="1">
      <alignment horizontal="center"/>
      <protection locked="0"/>
    </xf>
    <xf numFmtId="0" fontId="0" fillId="0" borderId="56" xfId="0" applyBorder="1" applyAlignment="1" applyProtection="1">
      <alignment horizontal="center"/>
      <protection locked="0"/>
    </xf>
    <xf numFmtId="0" fontId="0" fillId="2" borderId="57" xfId="0" applyFill="1" applyBorder="1" applyProtection="1">
      <protection locked="0"/>
    </xf>
    <xf numFmtId="0" fontId="0" fillId="0" borderId="0" xfId="0" applyAlignment="1">
      <alignment horizontal="center"/>
    </xf>
    <xf numFmtId="0" fontId="2" fillId="0" borderId="60" xfId="0" applyFont="1" applyBorder="1" applyAlignment="1">
      <alignment horizontal="center"/>
    </xf>
    <xf numFmtId="0" fontId="2" fillId="0" borderId="61" xfId="0" applyFont="1" applyBorder="1" applyAlignment="1">
      <alignment horizontal="center"/>
    </xf>
    <xf numFmtId="0" fontId="2" fillId="0" borderId="62" xfId="0" applyFont="1" applyBorder="1" applyAlignment="1">
      <alignment horizontal="center"/>
    </xf>
    <xf numFmtId="0" fontId="2" fillId="0" borderId="64" xfId="0" applyFont="1" applyBorder="1" applyAlignment="1">
      <alignment horizontal="center"/>
    </xf>
    <xf numFmtId="0" fontId="2" fillId="0" borderId="65" xfId="0" applyFont="1" applyBorder="1" applyAlignment="1">
      <alignment horizontal="center"/>
    </xf>
    <xf numFmtId="0" fontId="21" fillId="0" borderId="1" xfId="0" applyFont="1" applyBorder="1" applyAlignment="1" applyProtection="1">
      <alignment horizontal="center"/>
      <protection locked="0"/>
    </xf>
    <xf numFmtId="0" fontId="21" fillId="0" borderId="2" xfId="0" applyFont="1" applyBorder="1" applyAlignment="1" applyProtection="1">
      <alignment horizontal="center"/>
      <protection locked="0"/>
    </xf>
    <xf numFmtId="0" fontId="21" fillId="0" borderId="3" xfId="0" applyFont="1" applyBorder="1" applyAlignment="1" applyProtection="1">
      <alignment horizontal="center"/>
      <protection locked="0"/>
    </xf>
    <xf numFmtId="0" fontId="22" fillId="0" borderId="1" xfId="0" applyFont="1" applyBorder="1" applyAlignment="1" applyProtection="1">
      <alignment horizontal="center"/>
      <protection locked="0"/>
    </xf>
    <xf numFmtId="0" fontId="22" fillId="0" borderId="3" xfId="0" applyFont="1" applyBorder="1" applyAlignment="1" applyProtection="1">
      <alignment horizontal="center"/>
      <protection locked="0"/>
    </xf>
    <xf numFmtId="0" fontId="22" fillId="0" borderId="66" xfId="0" applyFont="1" applyBorder="1" applyAlignment="1" applyProtection="1">
      <alignment horizontal="center"/>
      <protection locked="0"/>
    </xf>
    <xf numFmtId="0" fontId="21" fillId="0" borderId="67" xfId="0" applyFont="1" applyBorder="1" applyAlignment="1" applyProtection="1">
      <alignment horizontal="center"/>
      <protection locked="0"/>
    </xf>
    <xf numFmtId="0" fontId="21" fillId="0" borderId="68" xfId="0" applyFont="1" applyBorder="1" applyAlignment="1" applyProtection="1">
      <alignment horizontal="center"/>
      <protection locked="0"/>
    </xf>
    <xf numFmtId="0" fontId="21" fillId="0" borderId="69" xfId="0" applyFont="1" applyBorder="1" applyAlignment="1" applyProtection="1">
      <alignment horizontal="center"/>
      <protection locked="0"/>
    </xf>
    <xf numFmtId="0" fontId="22" fillId="0" borderId="69" xfId="0" applyFont="1" applyBorder="1" applyAlignment="1" applyProtection="1">
      <alignment horizontal="center"/>
      <protection locked="0"/>
    </xf>
    <xf numFmtId="0" fontId="22" fillId="0" borderId="70" xfId="0" applyFont="1" applyBorder="1" applyAlignment="1" applyProtection="1">
      <alignment horizontal="center"/>
      <protection locked="0"/>
    </xf>
    <xf numFmtId="0" fontId="22" fillId="0" borderId="71" xfId="0" applyFont="1" applyBorder="1" applyAlignment="1" applyProtection="1">
      <alignment horizontal="center"/>
      <protection locked="0"/>
    </xf>
    <xf numFmtId="0" fontId="21" fillId="0" borderId="72" xfId="0" applyFont="1" applyBorder="1" applyAlignment="1" applyProtection="1">
      <alignment horizontal="center"/>
      <protection locked="0"/>
    </xf>
    <xf numFmtId="0" fontId="21" fillId="0" borderId="73" xfId="0" applyFont="1" applyBorder="1" applyAlignment="1" applyProtection="1">
      <alignment horizontal="center"/>
      <protection locked="0"/>
    </xf>
    <xf numFmtId="0" fontId="21" fillId="0" borderId="74" xfId="0" applyFont="1" applyBorder="1" applyAlignment="1" applyProtection="1">
      <alignment horizontal="center"/>
      <protection locked="0"/>
    </xf>
    <xf numFmtId="0" fontId="22" fillId="0" borderId="74" xfId="0" applyFont="1" applyBorder="1" applyAlignment="1" applyProtection="1">
      <alignment horizontal="center"/>
      <protection locked="0"/>
    </xf>
    <xf numFmtId="0" fontId="22" fillId="0" borderId="75" xfId="0" applyFont="1" applyBorder="1" applyAlignment="1" applyProtection="1">
      <alignment horizontal="center"/>
      <protection locked="0"/>
    </xf>
    <xf numFmtId="0" fontId="21" fillId="0" borderId="76" xfId="0" applyFont="1" applyBorder="1" applyAlignment="1" applyProtection="1">
      <alignment horizontal="center"/>
      <protection locked="0"/>
    </xf>
    <xf numFmtId="0" fontId="21" fillId="0" borderId="0" xfId="0" applyFont="1" applyAlignment="1" applyProtection="1">
      <alignment horizontal="center"/>
      <protection locked="0"/>
    </xf>
    <xf numFmtId="0" fontId="21" fillId="0" borderId="77" xfId="0" applyFont="1" applyBorder="1" applyAlignment="1" applyProtection="1">
      <alignment horizontal="center"/>
      <protection locked="0"/>
    </xf>
    <xf numFmtId="0" fontId="22" fillId="0" borderId="77" xfId="0" applyFont="1" applyBorder="1" applyAlignment="1" applyProtection="1">
      <alignment horizontal="center"/>
      <protection locked="0"/>
    </xf>
    <xf numFmtId="0" fontId="21" fillId="0" borderId="71" xfId="0" applyFont="1" applyBorder="1" applyAlignment="1" applyProtection="1">
      <alignment horizontal="center"/>
      <protection locked="0"/>
    </xf>
    <xf numFmtId="0" fontId="21" fillId="0" borderId="78" xfId="0" applyFont="1" applyBorder="1" applyAlignment="1" applyProtection="1">
      <alignment horizontal="center"/>
      <protection locked="0"/>
    </xf>
    <xf numFmtId="0" fontId="21" fillId="0" borderId="79" xfId="0" applyFont="1" applyBorder="1" applyAlignment="1" applyProtection="1">
      <alignment horizontal="center"/>
      <protection locked="0"/>
    </xf>
    <xf numFmtId="0" fontId="21" fillId="0" borderId="80" xfId="0" applyFont="1" applyBorder="1" applyAlignment="1" applyProtection="1">
      <alignment horizontal="center"/>
      <protection locked="0"/>
    </xf>
    <xf numFmtId="0" fontId="21" fillId="0" borderId="81" xfId="0" applyFont="1" applyBorder="1" applyAlignment="1" applyProtection="1">
      <alignment horizontal="center"/>
      <protection locked="0"/>
    </xf>
    <xf numFmtId="0" fontId="22" fillId="0" borderId="81" xfId="0" applyFont="1" applyBorder="1" applyAlignment="1" applyProtection="1">
      <alignment horizontal="center"/>
      <protection locked="0"/>
    </xf>
    <xf numFmtId="0" fontId="22" fillId="0" borderId="79" xfId="0" applyFont="1" applyBorder="1" applyAlignment="1" applyProtection="1">
      <alignment horizontal="center"/>
      <protection locked="0"/>
    </xf>
    <xf numFmtId="0" fontId="22" fillId="0" borderId="82" xfId="0" applyFont="1" applyBorder="1" applyAlignment="1" applyProtection="1">
      <alignment horizontal="center"/>
      <protection locked="0"/>
    </xf>
    <xf numFmtId="0" fontId="22" fillId="3" borderId="3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 applyAlignment="1">
      <alignment horizontal="center"/>
    </xf>
    <xf numFmtId="0" fontId="22" fillId="0" borderId="2" xfId="0" applyFont="1" applyBorder="1" applyAlignment="1" applyProtection="1">
      <alignment horizontal="center"/>
      <protection locked="0"/>
    </xf>
    <xf numFmtId="0" fontId="23" fillId="4" borderId="1" xfId="0" applyFont="1" applyFill="1" applyBorder="1" applyAlignment="1" applyProtection="1">
      <alignment horizontal="center"/>
      <protection locked="0"/>
    </xf>
    <xf numFmtId="0" fontId="23" fillId="4" borderId="2" xfId="0" applyFont="1" applyFill="1" applyBorder="1" applyAlignment="1" applyProtection="1">
      <alignment horizontal="center"/>
      <protection locked="0"/>
    </xf>
    <xf numFmtId="0" fontId="23" fillId="4" borderId="3" xfId="0" applyFont="1" applyFill="1" applyBorder="1" applyAlignment="1" applyProtection="1">
      <alignment horizontal="center"/>
      <protection locked="0"/>
    </xf>
    <xf numFmtId="0" fontId="23" fillId="5" borderId="1" xfId="0" applyFont="1" applyFill="1" applyBorder="1" applyAlignment="1" applyProtection="1">
      <alignment horizontal="center"/>
      <protection locked="0"/>
    </xf>
    <xf numFmtId="0" fontId="23" fillId="5" borderId="3" xfId="0" applyFont="1" applyFill="1" applyBorder="1" applyAlignment="1" applyProtection="1">
      <alignment horizontal="center"/>
      <protection locked="0"/>
    </xf>
    <xf numFmtId="0" fontId="23" fillId="5" borderId="66" xfId="0" applyFont="1" applyFill="1" applyBorder="1" applyAlignment="1" applyProtection="1">
      <alignment horizontal="center"/>
      <protection locked="0"/>
    </xf>
    <xf numFmtId="0" fontId="23" fillId="0" borderId="67" xfId="0" applyFont="1" applyBorder="1" applyAlignment="1" applyProtection="1">
      <alignment horizontal="center"/>
      <protection locked="0"/>
    </xf>
    <xf numFmtId="0" fontId="23" fillId="0" borderId="68" xfId="0" applyFont="1" applyBorder="1" applyAlignment="1" applyProtection="1">
      <alignment horizontal="center"/>
      <protection locked="0"/>
    </xf>
    <xf numFmtId="0" fontId="23" fillId="0" borderId="69" xfId="0" applyFont="1" applyBorder="1" applyAlignment="1" applyProtection="1">
      <alignment horizontal="center"/>
      <protection locked="0"/>
    </xf>
    <xf numFmtId="0" fontId="23" fillId="0" borderId="70" xfId="0" applyFont="1" applyBorder="1" applyAlignment="1" applyProtection="1">
      <alignment horizontal="center"/>
      <protection locked="0"/>
    </xf>
    <xf numFmtId="0" fontId="23" fillId="0" borderId="83" xfId="0" applyFont="1" applyBorder="1" applyAlignment="1" applyProtection="1">
      <alignment horizontal="center"/>
      <protection locked="0"/>
    </xf>
    <xf numFmtId="0" fontId="23" fillId="0" borderId="72" xfId="0" applyFont="1" applyBorder="1" applyAlignment="1" applyProtection="1">
      <alignment horizontal="center"/>
      <protection locked="0"/>
    </xf>
    <xf numFmtId="0" fontId="23" fillId="0" borderId="73" xfId="0" applyFont="1" applyBorder="1" applyAlignment="1" applyProtection="1">
      <alignment horizontal="center"/>
      <protection locked="0"/>
    </xf>
    <xf numFmtId="0" fontId="23" fillId="0" borderId="74" xfId="0" applyFont="1" applyBorder="1" applyAlignment="1" applyProtection="1">
      <alignment horizontal="center"/>
      <protection locked="0"/>
    </xf>
    <xf numFmtId="0" fontId="23" fillId="0" borderId="75" xfId="0" applyFont="1" applyBorder="1" applyAlignment="1" applyProtection="1">
      <alignment horizontal="center"/>
      <protection locked="0"/>
    </xf>
    <xf numFmtId="0" fontId="23" fillId="0" borderId="84" xfId="0" applyFont="1" applyBorder="1" applyAlignment="1" applyProtection="1">
      <alignment horizontal="center"/>
      <protection locked="0"/>
    </xf>
    <xf numFmtId="0" fontId="23" fillId="0" borderId="85" xfId="0" applyFont="1" applyBorder="1" applyAlignment="1" applyProtection="1">
      <alignment horizontal="center"/>
      <protection locked="0"/>
    </xf>
    <xf numFmtId="0" fontId="23" fillId="0" borderId="86" xfId="0" applyFont="1" applyBorder="1" applyAlignment="1" applyProtection="1">
      <alignment horizontal="center"/>
      <protection locked="0"/>
    </xf>
    <xf numFmtId="0" fontId="23" fillId="0" borderId="87" xfId="0" applyFont="1" applyBorder="1" applyAlignment="1" applyProtection="1">
      <alignment horizontal="center"/>
      <protection locked="0"/>
    </xf>
    <xf numFmtId="0" fontId="23" fillId="0" borderId="88" xfId="0" applyFont="1" applyBorder="1" applyAlignment="1" applyProtection="1">
      <alignment horizontal="center"/>
      <protection locked="0"/>
    </xf>
    <xf numFmtId="0" fontId="23" fillId="0" borderId="76" xfId="0" applyFont="1" applyBorder="1" applyAlignment="1" applyProtection="1">
      <alignment horizontal="center"/>
      <protection locked="0"/>
    </xf>
    <xf numFmtId="0" fontId="23" fillId="0" borderId="0" xfId="0" applyFont="1" applyAlignment="1" applyProtection="1">
      <alignment horizontal="center"/>
      <protection locked="0"/>
    </xf>
    <xf numFmtId="0" fontId="23" fillId="0" borderId="3" xfId="0" applyFont="1" applyBorder="1" applyAlignment="1" applyProtection="1">
      <alignment horizontal="center"/>
      <protection locked="0"/>
    </xf>
    <xf numFmtId="0" fontId="23" fillId="0" borderId="1" xfId="0" applyFont="1" applyBorder="1" applyAlignment="1" applyProtection="1">
      <alignment horizontal="center"/>
      <protection locked="0"/>
    </xf>
    <xf numFmtId="0" fontId="23" fillId="0" borderId="89" xfId="0" applyFont="1" applyBorder="1" applyAlignment="1" applyProtection="1">
      <alignment horizontal="center"/>
      <protection locked="0"/>
    </xf>
    <xf numFmtId="0" fontId="23" fillId="0" borderId="77" xfId="0" applyFont="1" applyBorder="1" applyAlignment="1" applyProtection="1">
      <alignment horizontal="center"/>
      <protection locked="0"/>
    </xf>
    <xf numFmtId="0" fontId="23" fillId="0" borderId="90" xfId="0" applyFont="1" applyBorder="1" applyAlignment="1" applyProtection="1">
      <alignment horizontal="center"/>
      <protection locked="0"/>
    </xf>
    <xf numFmtId="0" fontId="23" fillId="0" borderId="91" xfId="0" applyFont="1" applyBorder="1" applyAlignment="1" applyProtection="1">
      <alignment horizontal="center"/>
      <protection locked="0"/>
    </xf>
    <xf numFmtId="0" fontId="23" fillId="0" borderId="92" xfId="0" applyFont="1" applyBorder="1" applyAlignment="1" applyProtection="1">
      <alignment horizontal="center"/>
      <protection locked="0"/>
    </xf>
    <xf numFmtId="0" fontId="23" fillId="0" borderId="93" xfId="0" applyFont="1" applyBorder="1" applyAlignment="1" applyProtection="1">
      <alignment horizontal="center"/>
      <protection locked="0"/>
    </xf>
    <xf numFmtId="0" fontId="23" fillId="0" borderId="94" xfId="0" applyFont="1" applyBorder="1" applyAlignment="1" applyProtection="1">
      <alignment horizontal="center"/>
      <protection locked="0"/>
    </xf>
    <xf numFmtId="0" fontId="23" fillId="3" borderId="3" xfId="0" applyFont="1" applyFill="1" applyBorder="1" applyAlignment="1">
      <alignment horizontal="center"/>
    </xf>
    <xf numFmtId="0" fontId="23" fillId="3" borderId="0" xfId="0" applyFont="1" applyFill="1" applyAlignment="1">
      <alignment horizontal="center"/>
    </xf>
    <xf numFmtId="0" fontId="23" fillId="3" borderId="1" xfId="0" applyFont="1" applyFill="1" applyBorder="1" applyAlignment="1">
      <alignment horizontal="center"/>
    </xf>
    <xf numFmtId="0" fontId="16" fillId="0" borderId="45" xfId="0" applyFont="1" applyBorder="1" applyAlignment="1">
      <alignment horizontal="center"/>
    </xf>
    <xf numFmtId="49" fontId="9" fillId="2" borderId="33" xfId="0" applyNumberFormat="1" applyFont="1" applyFill="1" applyBorder="1" applyAlignment="1">
      <alignment horizontal="center" vertical="center"/>
    </xf>
    <xf numFmtId="49" fontId="9" fillId="2" borderId="34" xfId="0" applyNumberFormat="1" applyFont="1" applyFill="1" applyBorder="1" applyAlignment="1">
      <alignment horizontal="center" vertical="center"/>
    </xf>
    <xf numFmtId="0" fontId="13" fillId="2" borderId="28" xfId="0" applyFont="1" applyFill="1" applyBorder="1" applyAlignment="1">
      <alignment horizontal="center" vertical="center"/>
    </xf>
    <xf numFmtId="0" fontId="13" fillId="2" borderId="29" xfId="0" applyFont="1" applyFill="1" applyBorder="1" applyAlignment="1">
      <alignment horizontal="center" vertical="center"/>
    </xf>
    <xf numFmtId="0" fontId="13" fillId="2" borderId="30" xfId="0" applyFont="1" applyFill="1" applyBorder="1" applyAlignment="1">
      <alignment horizontal="center" vertical="center"/>
    </xf>
    <xf numFmtId="0" fontId="13" fillId="2" borderId="27" xfId="0" applyFont="1" applyFill="1" applyBorder="1" applyAlignment="1">
      <alignment horizontal="center" vertical="center"/>
    </xf>
    <xf numFmtId="0" fontId="13" fillId="2" borderId="31" xfId="0" applyFont="1" applyFill="1" applyBorder="1" applyAlignment="1">
      <alignment horizontal="center" vertical="center"/>
    </xf>
    <xf numFmtId="0" fontId="13" fillId="2" borderId="32" xfId="0" applyFont="1" applyFill="1" applyBorder="1" applyAlignment="1">
      <alignment horizontal="center" vertical="center"/>
    </xf>
    <xf numFmtId="0" fontId="9" fillId="2" borderId="35" xfId="0" applyFont="1" applyFill="1" applyBorder="1" applyAlignment="1">
      <alignment horizontal="center" vertical="center"/>
    </xf>
    <xf numFmtId="0" fontId="9" fillId="2" borderId="37" xfId="0" applyFont="1" applyFill="1" applyBorder="1" applyAlignment="1">
      <alignment horizontal="center" vertical="center"/>
    </xf>
    <xf numFmtId="0" fontId="20" fillId="2" borderId="58" xfId="0" applyFont="1" applyFill="1" applyBorder="1" applyAlignment="1">
      <alignment horizontal="center" vertical="center"/>
    </xf>
    <xf numFmtId="0" fontId="9" fillId="2" borderId="59" xfId="0" applyFont="1" applyFill="1" applyBorder="1" applyAlignment="1">
      <alignment horizontal="center" vertical="center"/>
    </xf>
    <xf numFmtId="49" fontId="1" fillId="0" borderId="8" xfId="0" applyNumberFormat="1" applyFont="1" applyBorder="1" applyAlignment="1">
      <alignment horizontal="center" vertical="center"/>
    </xf>
    <xf numFmtId="49" fontId="1" fillId="0" borderId="9" xfId="0" applyNumberFormat="1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20" fillId="2" borderId="63" xfId="0" applyFont="1" applyFill="1" applyBorder="1" applyAlignment="1">
      <alignment horizontal="center" vertical="center"/>
    </xf>
    <xf numFmtId="0" fontId="9" fillId="2" borderId="64" xfId="0" applyFont="1" applyFill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9" xfId="0" applyFont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103"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E85D6A"/>
      <color rgb="FF153D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330200</xdr:colOff>
          <xdr:row>2</xdr:row>
          <xdr:rowOff>12700</xdr:rowOff>
        </xdr:from>
        <xdr:to>
          <xdr:col>20</xdr:col>
          <xdr:colOff>304800</xdr:colOff>
          <xdr:row>2</xdr:row>
          <xdr:rowOff>330200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0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330200</xdr:colOff>
          <xdr:row>2</xdr:row>
          <xdr:rowOff>12700</xdr:rowOff>
        </xdr:from>
        <xdr:to>
          <xdr:col>20</xdr:col>
          <xdr:colOff>304800</xdr:colOff>
          <xdr:row>2</xdr:row>
          <xdr:rowOff>330200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1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330200</xdr:colOff>
          <xdr:row>2</xdr:row>
          <xdr:rowOff>12700</xdr:rowOff>
        </xdr:from>
        <xdr:to>
          <xdr:col>20</xdr:col>
          <xdr:colOff>304800</xdr:colOff>
          <xdr:row>2</xdr:row>
          <xdr:rowOff>330200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685800</xdr:colOff>
          <xdr:row>2</xdr:row>
          <xdr:rowOff>50800</xdr:rowOff>
        </xdr:from>
        <xdr:to>
          <xdr:col>17</xdr:col>
          <xdr:colOff>1333500</xdr:colOff>
          <xdr:row>2</xdr:row>
          <xdr:rowOff>368300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647700</xdr:colOff>
          <xdr:row>2</xdr:row>
          <xdr:rowOff>50800</xdr:rowOff>
        </xdr:from>
        <xdr:to>
          <xdr:col>17</xdr:col>
          <xdr:colOff>1295400</xdr:colOff>
          <xdr:row>2</xdr:row>
          <xdr:rowOff>368300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635000</xdr:colOff>
          <xdr:row>2</xdr:row>
          <xdr:rowOff>25400</xdr:rowOff>
        </xdr:from>
        <xdr:to>
          <xdr:col>17</xdr:col>
          <xdr:colOff>1282700</xdr:colOff>
          <xdr:row>2</xdr:row>
          <xdr:rowOff>342900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635000</xdr:colOff>
          <xdr:row>2</xdr:row>
          <xdr:rowOff>50800</xdr:rowOff>
        </xdr:from>
        <xdr:to>
          <xdr:col>17</xdr:col>
          <xdr:colOff>1282700</xdr:colOff>
          <xdr:row>2</xdr:row>
          <xdr:rowOff>368300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596900</xdr:colOff>
          <xdr:row>2</xdr:row>
          <xdr:rowOff>38100</xdr:rowOff>
        </xdr:from>
        <xdr:to>
          <xdr:col>17</xdr:col>
          <xdr:colOff>1244600</xdr:colOff>
          <xdr:row>2</xdr:row>
          <xdr:rowOff>355600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508000</xdr:colOff>
          <xdr:row>2</xdr:row>
          <xdr:rowOff>50800</xdr:rowOff>
        </xdr:from>
        <xdr:to>
          <xdr:col>17</xdr:col>
          <xdr:colOff>1155700</xdr:colOff>
          <xdr:row>2</xdr:row>
          <xdr:rowOff>368300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533400</xdr:colOff>
          <xdr:row>2</xdr:row>
          <xdr:rowOff>50800</xdr:rowOff>
        </xdr:from>
        <xdr:to>
          <xdr:col>17</xdr:col>
          <xdr:colOff>1181100</xdr:colOff>
          <xdr:row>2</xdr:row>
          <xdr:rowOff>368300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330200</xdr:colOff>
          <xdr:row>2</xdr:row>
          <xdr:rowOff>50800</xdr:rowOff>
        </xdr:from>
        <xdr:to>
          <xdr:col>17</xdr:col>
          <xdr:colOff>977900</xdr:colOff>
          <xdr:row>2</xdr:row>
          <xdr:rowOff>368300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508000</xdr:colOff>
          <xdr:row>2</xdr:row>
          <xdr:rowOff>50800</xdr:rowOff>
        </xdr:from>
        <xdr:to>
          <xdr:col>17</xdr:col>
          <xdr:colOff>1155700</xdr:colOff>
          <xdr:row>2</xdr:row>
          <xdr:rowOff>368300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B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584200</xdr:colOff>
          <xdr:row>2</xdr:row>
          <xdr:rowOff>25400</xdr:rowOff>
        </xdr:from>
        <xdr:to>
          <xdr:col>17</xdr:col>
          <xdr:colOff>1231900</xdr:colOff>
          <xdr:row>2</xdr:row>
          <xdr:rowOff>342900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584200</xdr:colOff>
          <xdr:row>2</xdr:row>
          <xdr:rowOff>38100</xdr:rowOff>
        </xdr:from>
        <xdr:to>
          <xdr:col>17</xdr:col>
          <xdr:colOff>1231900</xdr:colOff>
          <xdr:row>2</xdr:row>
          <xdr:rowOff>355600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D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571500</xdr:colOff>
          <xdr:row>2</xdr:row>
          <xdr:rowOff>38100</xdr:rowOff>
        </xdr:from>
        <xdr:to>
          <xdr:col>17</xdr:col>
          <xdr:colOff>1219200</xdr:colOff>
          <xdr:row>2</xdr:row>
          <xdr:rowOff>355600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E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558800</xdr:colOff>
          <xdr:row>2</xdr:row>
          <xdr:rowOff>63500</xdr:rowOff>
        </xdr:from>
        <xdr:to>
          <xdr:col>17</xdr:col>
          <xdr:colOff>1206500</xdr:colOff>
          <xdr:row>2</xdr:row>
          <xdr:rowOff>381000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F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571500</xdr:colOff>
          <xdr:row>2</xdr:row>
          <xdr:rowOff>50800</xdr:rowOff>
        </xdr:from>
        <xdr:to>
          <xdr:col>17</xdr:col>
          <xdr:colOff>1219200</xdr:colOff>
          <xdr:row>2</xdr:row>
          <xdr:rowOff>368300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1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584200</xdr:colOff>
          <xdr:row>2</xdr:row>
          <xdr:rowOff>38100</xdr:rowOff>
        </xdr:from>
        <xdr:to>
          <xdr:col>17</xdr:col>
          <xdr:colOff>1231900</xdr:colOff>
          <xdr:row>2</xdr:row>
          <xdr:rowOff>355600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5" Type="http://schemas.openxmlformats.org/officeDocument/2006/relationships/ctrlProp" Target="../ctrlProps/ctrlProp8.xml"/><Relationship Id="rId4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5" Type="http://schemas.openxmlformats.org/officeDocument/2006/relationships/ctrlProp" Target="../ctrlProps/ctrlProp9.xml"/><Relationship Id="rId4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5" Type="http://schemas.openxmlformats.org/officeDocument/2006/relationships/ctrlProp" Target="../ctrlProps/ctrlProp10.xml"/><Relationship Id="rId4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Relationship Id="rId5" Type="http://schemas.openxmlformats.org/officeDocument/2006/relationships/ctrlProp" Target="../ctrlProps/ctrlProp11.xml"/><Relationship Id="rId4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Relationship Id="rId5" Type="http://schemas.openxmlformats.org/officeDocument/2006/relationships/ctrlProp" Target="../ctrlProps/ctrlProp12.xml"/><Relationship Id="rId4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Relationship Id="rId5" Type="http://schemas.openxmlformats.org/officeDocument/2006/relationships/ctrlProp" Target="../ctrlProps/ctrlProp13.xml"/><Relationship Id="rId4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Relationship Id="rId5" Type="http://schemas.openxmlformats.org/officeDocument/2006/relationships/ctrlProp" Target="../ctrlProps/ctrlProp14.xml"/><Relationship Id="rId4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30.bin"/><Relationship Id="rId1" Type="http://schemas.openxmlformats.org/officeDocument/2006/relationships/printerSettings" Target="../printerSettings/printerSettings29.bin"/><Relationship Id="rId5" Type="http://schemas.openxmlformats.org/officeDocument/2006/relationships/ctrlProp" Target="../ctrlProps/ctrlProp15.xml"/><Relationship Id="rId4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2.bin"/><Relationship Id="rId1" Type="http://schemas.openxmlformats.org/officeDocument/2006/relationships/printerSettings" Target="../printerSettings/printerSettings31.bin"/><Relationship Id="rId5" Type="http://schemas.openxmlformats.org/officeDocument/2006/relationships/ctrlProp" Target="../ctrlProps/ctrlProp16.xml"/><Relationship Id="rId4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4.bin"/><Relationship Id="rId1" Type="http://schemas.openxmlformats.org/officeDocument/2006/relationships/printerSettings" Target="../printerSettings/printerSettings33.bin"/><Relationship Id="rId5" Type="http://schemas.openxmlformats.org/officeDocument/2006/relationships/ctrlProp" Target="../ctrlProps/ctrlProp17.xml"/><Relationship Id="rId4" Type="http://schemas.openxmlformats.org/officeDocument/2006/relationships/vmlDrawing" Target="../drawings/vmlDrawing17.v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6.bin"/><Relationship Id="rId1" Type="http://schemas.openxmlformats.org/officeDocument/2006/relationships/printerSettings" Target="../printerSettings/printerSettings35.bin"/><Relationship Id="rId5" Type="http://schemas.openxmlformats.org/officeDocument/2006/relationships/ctrlProp" Target="../ctrlProps/ctrlProp18.xml"/><Relationship Id="rId4" Type="http://schemas.openxmlformats.org/officeDocument/2006/relationships/vmlDrawing" Target="../drawings/vmlDrawing1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30F04-1AD9-415C-B4EC-638A90C2C1F9}">
  <sheetPr codeName="Sheet18">
    <pageSetUpPr fitToPage="1"/>
  </sheetPr>
  <dimension ref="A2:S36"/>
  <sheetViews>
    <sheetView workbookViewId="0">
      <selection activeCell="U19" sqref="U19"/>
    </sheetView>
  </sheetViews>
  <sheetFormatPr baseColWidth="10" defaultColWidth="8.83203125" defaultRowHeight="15"/>
  <cols>
    <col min="2" max="2" width="1.6640625" customWidth="1"/>
    <col min="3" max="3" width="11.6640625" style="1" bestFit="1" customWidth="1"/>
    <col min="4" max="14" width="13.1640625" customWidth="1"/>
    <col min="15" max="15" width="1.6640625" customWidth="1"/>
    <col min="16" max="16" width="15.5" bestFit="1" customWidth="1"/>
    <col min="17" max="17" width="1.6640625" customWidth="1"/>
    <col min="18" max="18" width="18.33203125" customWidth="1"/>
    <col min="19" max="19" width="1.6640625" customWidth="1"/>
  </cols>
  <sheetData>
    <row r="2" spans="1:19" ht="15" customHeight="1" thickBot="1">
      <c r="B2" s="31"/>
      <c r="C2" s="30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</row>
    <row r="3" spans="1:19" ht="32.25" customHeight="1" thickBot="1">
      <c r="B3" s="27"/>
      <c r="C3" s="186" t="s">
        <v>139</v>
      </c>
      <c r="D3" s="186"/>
      <c r="E3" s="186"/>
      <c r="F3" s="186"/>
      <c r="G3" s="186"/>
      <c r="H3" s="186"/>
      <c r="I3" s="186"/>
      <c r="J3" s="186"/>
      <c r="K3" s="186"/>
      <c r="L3" s="186"/>
      <c r="M3" s="186"/>
      <c r="N3" s="186"/>
      <c r="O3" s="186"/>
      <c r="P3" s="186"/>
      <c r="Q3" s="28"/>
    </row>
    <row r="4" spans="1:19" ht="15" customHeight="1" thickBot="1">
      <c r="A4" s="20"/>
      <c r="B4" s="19"/>
      <c r="C4" s="14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6"/>
      <c r="P4" s="6"/>
      <c r="Q4" s="16"/>
      <c r="R4" s="2"/>
    </row>
    <row r="5" spans="1:19" ht="23.25" customHeight="1" thickTop="1">
      <c r="A5" s="20"/>
      <c r="B5" s="6"/>
      <c r="C5" s="187" t="s">
        <v>18</v>
      </c>
      <c r="D5" s="189" t="s">
        <v>14</v>
      </c>
      <c r="E5" s="191" t="s">
        <v>2</v>
      </c>
      <c r="F5" s="193" t="s">
        <v>3</v>
      </c>
      <c r="G5" s="193" t="s">
        <v>4</v>
      </c>
      <c r="H5" s="193" t="s">
        <v>5</v>
      </c>
      <c r="I5" s="189" t="s">
        <v>6</v>
      </c>
      <c r="J5" s="189" t="s">
        <v>7</v>
      </c>
      <c r="K5" s="189" t="s">
        <v>8</v>
      </c>
      <c r="L5" s="191" t="s">
        <v>9</v>
      </c>
      <c r="M5" s="193" t="s">
        <v>10</v>
      </c>
      <c r="N5" s="189" t="s">
        <v>11</v>
      </c>
      <c r="O5" s="6"/>
      <c r="P5" s="195" t="s">
        <v>12</v>
      </c>
      <c r="Q5" s="17"/>
      <c r="R5" s="197" t="s">
        <v>389</v>
      </c>
    </row>
    <row r="6" spans="1:19" ht="8" customHeight="1" thickBot="1">
      <c r="A6" s="20"/>
      <c r="B6" s="6"/>
      <c r="C6" s="188"/>
      <c r="D6" s="190"/>
      <c r="E6" s="192"/>
      <c r="F6" s="194"/>
      <c r="G6" s="194"/>
      <c r="H6" s="194"/>
      <c r="I6" s="190"/>
      <c r="J6" s="190"/>
      <c r="K6" s="190"/>
      <c r="L6" s="192"/>
      <c r="M6" s="194"/>
      <c r="N6" s="190"/>
      <c r="O6" s="6"/>
      <c r="P6" s="196"/>
      <c r="Q6" s="17"/>
      <c r="R6" s="198"/>
    </row>
    <row r="7" spans="1:19" ht="16" thickTop="1">
      <c r="A7" s="20"/>
      <c r="B7" s="21"/>
      <c r="C7" s="81" t="s">
        <v>81</v>
      </c>
      <c r="D7" s="51" t="s">
        <v>307</v>
      </c>
      <c r="E7" s="52" t="s">
        <v>307</v>
      </c>
      <c r="F7" s="53" t="s">
        <v>307</v>
      </c>
      <c r="G7" s="53" t="s">
        <v>307</v>
      </c>
      <c r="H7" s="51" t="s">
        <v>307</v>
      </c>
      <c r="I7" s="82" t="s">
        <v>307</v>
      </c>
      <c r="J7" s="82" t="s">
        <v>307</v>
      </c>
      <c r="K7" s="82" t="s">
        <v>307</v>
      </c>
      <c r="L7" s="82" t="s">
        <v>307</v>
      </c>
      <c r="M7" s="82" t="s">
        <v>307</v>
      </c>
      <c r="N7" s="84" t="s">
        <v>307</v>
      </c>
      <c r="O7" s="36"/>
      <c r="P7" s="56" t="s">
        <v>307</v>
      </c>
      <c r="Q7" s="6"/>
      <c r="R7" s="114" t="s">
        <v>341</v>
      </c>
      <c r="S7" s="113"/>
    </row>
    <row r="8" spans="1:19">
      <c r="A8" s="20"/>
      <c r="B8" s="21"/>
      <c r="C8" s="85" t="s">
        <v>109</v>
      </c>
      <c r="D8" s="57" t="s">
        <v>316</v>
      </c>
      <c r="E8" s="58" t="s">
        <v>323</v>
      </c>
      <c r="F8" s="59" t="s">
        <v>323</v>
      </c>
      <c r="G8" s="86" t="s">
        <v>316</v>
      </c>
      <c r="H8" s="87" t="s">
        <v>323</v>
      </c>
      <c r="I8" s="86" t="s">
        <v>316</v>
      </c>
      <c r="J8" s="86" t="s">
        <v>316</v>
      </c>
      <c r="K8" s="86" t="s">
        <v>316</v>
      </c>
      <c r="L8" s="86" t="s">
        <v>316</v>
      </c>
      <c r="M8" s="86" t="s">
        <v>316</v>
      </c>
      <c r="N8" s="88" t="s">
        <v>316</v>
      </c>
      <c r="O8" s="36"/>
      <c r="P8" s="62" t="s">
        <v>323</v>
      </c>
      <c r="Q8" s="6"/>
      <c r="R8" s="115" t="s">
        <v>388</v>
      </c>
    </row>
    <row r="9" spans="1:19">
      <c r="A9" s="20"/>
      <c r="B9" s="21"/>
      <c r="C9" s="89" t="s">
        <v>23</v>
      </c>
      <c r="D9" s="63" t="s">
        <v>317</v>
      </c>
      <c r="E9" s="91" t="s">
        <v>317</v>
      </c>
      <c r="F9" s="92" t="s">
        <v>317</v>
      </c>
      <c r="G9" s="92" t="s">
        <v>324</v>
      </c>
      <c r="H9" s="93" t="s">
        <v>317</v>
      </c>
      <c r="I9" s="92" t="s">
        <v>317</v>
      </c>
      <c r="J9" s="92" t="s">
        <v>317</v>
      </c>
      <c r="K9" s="92" t="s">
        <v>317</v>
      </c>
      <c r="L9" s="92" t="s">
        <v>317</v>
      </c>
      <c r="M9" s="92" t="s">
        <v>324</v>
      </c>
      <c r="N9" s="88" t="s">
        <v>317</v>
      </c>
      <c r="O9" s="36"/>
      <c r="P9" s="104" t="s">
        <v>317</v>
      </c>
      <c r="Q9" s="6"/>
      <c r="R9" s="115" t="s">
        <v>342</v>
      </c>
      <c r="S9" s="113"/>
    </row>
    <row r="10" spans="1:19">
      <c r="A10" s="20"/>
      <c r="B10" s="21"/>
      <c r="C10" s="89" t="s">
        <v>112</v>
      </c>
      <c r="D10" s="63" t="s">
        <v>318</v>
      </c>
      <c r="E10" s="91" t="s">
        <v>318</v>
      </c>
      <c r="F10" s="92" t="s">
        <v>325</v>
      </c>
      <c r="G10" s="92" t="s">
        <v>325</v>
      </c>
      <c r="H10" s="93" t="s">
        <v>318</v>
      </c>
      <c r="I10" s="92" t="s">
        <v>318</v>
      </c>
      <c r="J10" s="92" t="s">
        <v>318</v>
      </c>
      <c r="K10" s="92" t="s">
        <v>318</v>
      </c>
      <c r="L10" s="92" t="s">
        <v>318</v>
      </c>
      <c r="M10" s="92" t="s">
        <v>318</v>
      </c>
      <c r="N10" s="88" t="s">
        <v>318</v>
      </c>
      <c r="O10" s="36"/>
      <c r="P10" s="104" t="s">
        <v>318</v>
      </c>
      <c r="Q10" s="6"/>
      <c r="R10" s="115" t="s">
        <v>343</v>
      </c>
      <c r="S10" s="113"/>
    </row>
    <row r="11" spans="1:19">
      <c r="A11" s="20"/>
      <c r="B11" s="21"/>
      <c r="C11" s="89" t="s">
        <v>146</v>
      </c>
      <c r="D11" s="63" t="s">
        <v>308</v>
      </c>
      <c r="E11" s="91" t="s">
        <v>308</v>
      </c>
      <c r="F11" s="92" t="s">
        <v>329</v>
      </c>
      <c r="G11" s="92" t="s">
        <v>308</v>
      </c>
      <c r="H11" s="93" t="s">
        <v>308</v>
      </c>
      <c r="I11" s="92" t="s">
        <v>308</v>
      </c>
      <c r="J11" s="92" t="s">
        <v>329</v>
      </c>
      <c r="K11" s="92" t="s">
        <v>308</v>
      </c>
      <c r="L11" s="92" t="s">
        <v>329</v>
      </c>
      <c r="M11" s="92" t="s">
        <v>308</v>
      </c>
      <c r="N11" s="88" t="s">
        <v>329</v>
      </c>
      <c r="O11" s="36"/>
      <c r="P11" s="104" t="s">
        <v>308</v>
      </c>
      <c r="Q11" s="6"/>
      <c r="R11" s="115" t="s">
        <v>344</v>
      </c>
      <c r="S11" s="113"/>
    </row>
    <row r="12" spans="1:19">
      <c r="A12" s="20"/>
      <c r="B12" s="21"/>
      <c r="C12" s="94" t="s">
        <v>147</v>
      </c>
      <c r="D12" s="67" t="s">
        <v>309</v>
      </c>
      <c r="E12" s="96" t="s">
        <v>309</v>
      </c>
      <c r="F12" s="82" t="s">
        <v>309</v>
      </c>
      <c r="G12" s="82" t="s">
        <v>309</v>
      </c>
      <c r="H12" s="83" t="s">
        <v>309</v>
      </c>
      <c r="I12" s="82" t="s">
        <v>309</v>
      </c>
      <c r="J12" s="82" t="s">
        <v>309</v>
      </c>
      <c r="K12" s="82" t="s">
        <v>309</v>
      </c>
      <c r="L12" s="82" t="s">
        <v>309</v>
      </c>
      <c r="M12" s="82" t="s">
        <v>334</v>
      </c>
      <c r="N12" s="84" t="s">
        <v>309</v>
      </c>
      <c r="O12" s="36"/>
      <c r="P12" s="104" t="s">
        <v>334</v>
      </c>
      <c r="Q12" s="6"/>
      <c r="R12" s="115" t="s">
        <v>345</v>
      </c>
      <c r="S12" s="113"/>
    </row>
    <row r="13" spans="1:19">
      <c r="A13" s="20"/>
      <c r="B13" s="21"/>
      <c r="C13" s="89" t="s">
        <v>148</v>
      </c>
      <c r="D13" s="69" t="s">
        <v>319</v>
      </c>
      <c r="E13" s="98" t="s">
        <v>319</v>
      </c>
      <c r="F13" s="92" t="s">
        <v>319</v>
      </c>
      <c r="G13" s="92" t="s">
        <v>326</v>
      </c>
      <c r="H13" s="93" t="s">
        <v>319</v>
      </c>
      <c r="I13" s="92" t="s">
        <v>319</v>
      </c>
      <c r="J13" s="92" t="s">
        <v>326</v>
      </c>
      <c r="K13" s="92" t="s">
        <v>319</v>
      </c>
      <c r="L13" s="92" t="s">
        <v>319</v>
      </c>
      <c r="M13" s="92" t="s">
        <v>319</v>
      </c>
      <c r="N13" s="88" t="s">
        <v>326</v>
      </c>
      <c r="O13" s="36"/>
      <c r="P13" s="104" t="s">
        <v>319</v>
      </c>
      <c r="Q13" s="6"/>
      <c r="R13" s="115" t="s">
        <v>346</v>
      </c>
      <c r="S13" s="113"/>
    </row>
    <row r="14" spans="1:19">
      <c r="A14" s="20"/>
      <c r="B14" s="21"/>
      <c r="C14" s="89" t="s">
        <v>70</v>
      </c>
      <c r="D14" s="69" t="s">
        <v>310</v>
      </c>
      <c r="E14" s="98" t="s">
        <v>327</v>
      </c>
      <c r="F14" s="92" t="s">
        <v>327</v>
      </c>
      <c r="G14" s="92" t="s">
        <v>327</v>
      </c>
      <c r="H14" s="93" t="s">
        <v>310</v>
      </c>
      <c r="I14" s="92" t="s">
        <v>310</v>
      </c>
      <c r="J14" s="92" t="s">
        <v>310</v>
      </c>
      <c r="K14" s="92" t="s">
        <v>327</v>
      </c>
      <c r="L14" s="92" t="s">
        <v>327</v>
      </c>
      <c r="M14" s="92" t="s">
        <v>327</v>
      </c>
      <c r="N14" s="88" t="s">
        <v>327</v>
      </c>
      <c r="O14" s="36"/>
      <c r="P14" s="104" t="s">
        <v>327</v>
      </c>
      <c r="Q14" s="6"/>
      <c r="R14" s="115" t="s">
        <v>347</v>
      </c>
      <c r="S14" s="113"/>
    </row>
    <row r="15" spans="1:19">
      <c r="A15" s="20"/>
      <c r="B15" s="21"/>
      <c r="C15" s="89" t="s">
        <v>75</v>
      </c>
      <c r="D15" s="69" t="s">
        <v>311</v>
      </c>
      <c r="E15" s="98" t="s">
        <v>311</v>
      </c>
      <c r="F15" s="92" t="s">
        <v>335</v>
      </c>
      <c r="G15" s="92" t="s">
        <v>311</v>
      </c>
      <c r="H15" s="93" t="s">
        <v>311</v>
      </c>
      <c r="I15" s="92" t="s">
        <v>311</v>
      </c>
      <c r="J15" s="92" t="s">
        <v>311</v>
      </c>
      <c r="K15" s="92" t="s">
        <v>311</v>
      </c>
      <c r="L15" s="92" t="s">
        <v>311</v>
      </c>
      <c r="M15" s="92" t="s">
        <v>311</v>
      </c>
      <c r="N15" s="88" t="s">
        <v>311</v>
      </c>
      <c r="O15" s="36"/>
      <c r="P15" s="104" t="s">
        <v>311</v>
      </c>
      <c r="Q15" s="6"/>
      <c r="R15" s="115" t="s">
        <v>348</v>
      </c>
      <c r="S15" s="113"/>
    </row>
    <row r="16" spans="1:19">
      <c r="A16" s="20"/>
      <c r="B16" s="21"/>
      <c r="C16" s="89" t="s">
        <v>149</v>
      </c>
      <c r="D16" s="69" t="s">
        <v>312</v>
      </c>
      <c r="E16" s="98" t="s">
        <v>312</v>
      </c>
      <c r="F16" s="92" t="s">
        <v>312</v>
      </c>
      <c r="G16" s="92" t="s">
        <v>312</v>
      </c>
      <c r="H16" s="93" t="s">
        <v>312</v>
      </c>
      <c r="I16" s="92" t="s">
        <v>312</v>
      </c>
      <c r="J16" s="92" t="s">
        <v>312</v>
      </c>
      <c r="K16" s="92" t="s">
        <v>312</v>
      </c>
      <c r="L16" s="92" t="s">
        <v>312</v>
      </c>
      <c r="M16" s="92" t="s">
        <v>312</v>
      </c>
      <c r="N16" s="88" t="s">
        <v>312</v>
      </c>
      <c r="O16" s="36"/>
      <c r="P16" s="104" t="s">
        <v>312</v>
      </c>
      <c r="Q16" s="6"/>
      <c r="R16" s="115" t="s">
        <v>349</v>
      </c>
      <c r="S16" s="113"/>
    </row>
    <row r="17" spans="1:19">
      <c r="A17" s="20"/>
      <c r="B17" s="21"/>
      <c r="C17" s="89" t="s">
        <v>150</v>
      </c>
      <c r="D17" s="69" t="s">
        <v>313</v>
      </c>
      <c r="E17" s="98" t="s">
        <v>313</v>
      </c>
      <c r="F17" s="92" t="s">
        <v>313</v>
      </c>
      <c r="G17" s="92" t="s">
        <v>313</v>
      </c>
      <c r="H17" s="93" t="s">
        <v>313</v>
      </c>
      <c r="I17" s="92" t="s">
        <v>313</v>
      </c>
      <c r="J17" s="92" t="s">
        <v>313</v>
      </c>
      <c r="K17" s="92" t="s">
        <v>313</v>
      </c>
      <c r="L17" s="92" t="s">
        <v>313</v>
      </c>
      <c r="M17" s="92" t="s">
        <v>313</v>
      </c>
      <c r="N17" s="88" t="s">
        <v>313</v>
      </c>
      <c r="O17" s="36"/>
      <c r="P17" s="104" t="s">
        <v>313</v>
      </c>
      <c r="Q17" s="6"/>
      <c r="R17" s="115" t="s">
        <v>350</v>
      </c>
      <c r="S17" s="113"/>
    </row>
    <row r="18" spans="1:19">
      <c r="A18" s="20"/>
      <c r="B18" s="21"/>
      <c r="C18" s="89" t="s">
        <v>31</v>
      </c>
      <c r="D18" s="69" t="s">
        <v>320</v>
      </c>
      <c r="E18" s="98" t="s">
        <v>328</v>
      </c>
      <c r="F18" s="92" t="s">
        <v>328</v>
      </c>
      <c r="G18" s="92" t="s">
        <v>328</v>
      </c>
      <c r="H18" s="93" t="s">
        <v>320</v>
      </c>
      <c r="I18" s="92" t="s">
        <v>320</v>
      </c>
      <c r="J18" s="92" t="s">
        <v>320</v>
      </c>
      <c r="K18" s="92" t="s">
        <v>320</v>
      </c>
      <c r="L18" s="92" t="s">
        <v>320</v>
      </c>
      <c r="M18" s="92" t="s">
        <v>320</v>
      </c>
      <c r="N18" s="88" t="s">
        <v>320</v>
      </c>
      <c r="O18" s="36"/>
      <c r="P18" s="104" t="s">
        <v>320</v>
      </c>
      <c r="Q18" s="6"/>
      <c r="R18" s="115" t="s">
        <v>351</v>
      </c>
      <c r="S18" s="113"/>
    </row>
    <row r="19" spans="1:19">
      <c r="A19" s="20"/>
      <c r="B19" s="21"/>
      <c r="C19" s="89" t="s">
        <v>103</v>
      </c>
      <c r="D19" s="69" t="s">
        <v>321</v>
      </c>
      <c r="E19" s="98" t="s">
        <v>321</v>
      </c>
      <c r="F19" s="92" t="s">
        <v>333</v>
      </c>
      <c r="G19" s="92" t="s">
        <v>321</v>
      </c>
      <c r="H19" s="93" t="s">
        <v>321</v>
      </c>
      <c r="I19" s="92" t="s">
        <v>321</v>
      </c>
      <c r="J19" s="92" t="s">
        <v>321</v>
      </c>
      <c r="K19" s="92" t="s">
        <v>333</v>
      </c>
      <c r="L19" s="92" t="s">
        <v>321</v>
      </c>
      <c r="M19" s="92" t="s">
        <v>333</v>
      </c>
      <c r="N19" s="88" t="s">
        <v>321</v>
      </c>
      <c r="O19" s="36"/>
      <c r="P19" s="104" t="s">
        <v>333</v>
      </c>
      <c r="Q19" s="6"/>
      <c r="R19" s="115" t="s">
        <v>352</v>
      </c>
      <c r="S19" s="113"/>
    </row>
    <row r="20" spans="1:19">
      <c r="A20" s="20"/>
      <c r="B20" s="21"/>
      <c r="C20" s="89" t="s">
        <v>151</v>
      </c>
      <c r="D20" s="69" t="s">
        <v>322</v>
      </c>
      <c r="E20" s="98" t="s">
        <v>330</v>
      </c>
      <c r="F20" s="92" t="s">
        <v>330</v>
      </c>
      <c r="G20" s="92" t="s">
        <v>322</v>
      </c>
      <c r="H20" s="93" t="s">
        <v>330</v>
      </c>
      <c r="I20" s="92" t="s">
        <v>330</v>
      </c>
      <c r="J20" s="92" t="s">
        <v>330</v>
      </c>
      <c r="K20" s="92" t="s">
        <v>330</v>
      </c>
      <c r="L20" s="92" t="s">
        <v>330</v>
      </c>
      <c r="M20" s="92" t="s">
        <v>330</v>
      </c>
      <c r="N20" s="88" t="s">
        <v>330</v>
      </c>
      <c r="O20" s="36"/>
      <c r="P20" s="104" t="s">
        <v>330</v>
      </c>
      <c r="Q20" s="6"/>
      <c r="R20" s="115" t="s">
        <v>353</v>
      </c>
      <c r="S20" s="113"/>
    </row>
    <row r="21" spans="1:19">
      <c r="A21" s="20"/>
      <c r="B21" s="21"/>
      <c r="C21" s="89" t="s">
        <v>52</v>
      </c>
      <c r="D21" s="69" t="s">
        <v>314</v>
      </c>
      <c r="E21" s="98" t="s">
        <v>314</v>
      </c>
      <c r="F21" s="65" t="s">
        <v>331</v>
      </c>
      <c r="G21" s="92" t="s">
        <v>314</v>
      </c>
      <c r="H21" s="93" t="s">
        <v>314</v>
      </c>
      <c r="I21" s="92" t="s">
        <v>331</v>
      </c>
      <c r="J21" s="92" t="s">
        <v>331</v>
      </c>
      <c r="K21" s="92" t="s">
        <v>314</v>
      </c>
      <c r="L21" s="92" t="s">
        <v>331</v>
      </c>
      <c r="M21" s="92" t="s">
        <v>314</v>
      </c>
      <c r="N21" s="88" t="s">
        <v>331</v>
      </c>
      <c r="O21" s="36"/>
      <c r="P21" s="104" t="s">
        <v>314</v>
      </c>
      <c r="Q21" s="6"/>
      <c r="R21" s="115" t="s">
        <v>354</v>
      </c>
      <c r="S21" s="113"/>
    </row>
    <row r="22" spans="1:19" ht="16" thickBot="1">
      <c r="A22" s="20"/>
      <c r="B22" s="21"/>
      <c r="C22" s="99" t="s">
        <v>111</v>
      </c>
      <c r="D22" s="71" t="s">
        <v>315</v>
      </c>
      <c r="E22" s="101" t="s">
        <v>332</v>
      </c>
      <c r="F22" s="102" t="s">
        <v>315</v>
      </c>
      <c r="G22" s="102" t="s">
        <v>315</v>
      </c>
      <c r="H22" s="100" t="s">
        <v>315</v>
      </c>
      <c r="I22" s="102" t="s">
        <v>332</v>
      </c>
      <c r="J22" s="102" t="s">
        <v>315</v>
      </c>
      <c r="K22" s="102" t="s">
        <v>332</v>
      </c>
      <c r="L22" s="102" t="s">
        <v>332</v>
      </c>
      <c r="M22" s="102" t="s">
        <v>332</v>
      </c>
      <c r="N22" s="103" t="s">
        <v>332</v>
      </c>
      <c r="O22" s="36"/>
      <c r="P22" s="105" t="s">
        <v>332</v>
      </c>
      <c r="Q22" s="6"/>
      <c r="R22" s="116" t="s">
        <v>355</v>
      </c>
      <c r="S22" s="113"/>
    </row>
    <row r="23" spans="1:19" ht="16" thickTop="1">
      <c r="A23" s="20"/>
      <c r="B23" s="6"/>
      <c r="C23" s="37"/>
      <c r="D23" s="38"/>
      <c r="E23" s="39"/>
      <c r="F23" s="38"/>
      <c r="G23" s="38"/>
      <c r="H23" s="40"/>
      <c r="I23" s="38"/>
      <c r="J23" s="38"/>
      <c r="K23" s="38"/>
      <c r="L23" s="38"/>
      <c r="M23" s="38"/>
      <c r="N23" s="38"/>
      <c r="O23" s="36"/>
      <c r="P23" s="41" t="s">
        <v>16</v>
      </c>
      <c r="Q23" s="17"/>
      <c r="R23" s="2"/>
    </row>
    <row r="24" spans="1:19">
      <c r="A24" s="20"/>
      <c r="B24" s="6"/>
      <c r="C24" s="42" t="s">
        <v>15</v>
      </c>
      <c r="D24" s="82">
        <v>50</v>
      </c>
      <c r="E24" s="107">
        <v>42</v>
      </c>
      <c r="F24" s="82">
        <v>43</v>
      </c>
      <c r="G24" s="82">
        <v>41</v>
      </c>
      <c r="H24" s="83">
        <v>52</v>
      </c>
      <c r="I24" s="82">
        <v>43</v>
      </c>
      <c r="J24" s="82">
        <v>42</v>
      </c>
      <c r="K24" s="82">
        <v>42</v>
      </c>
      <c r="L24" s="82">
        <v>46</v>
      </c>
      <c r="M24" s="82">
        <v>41</v>
      </c>
      <c r="N24" s="82">
        <v>43</v>
      </c>
      <c r="O24" s="36"/>
      <c r="P24" s="106">
        <v>51</v>
      </c>
      <c r="Q24" s="17"/>
      <c r="R24" s="2"/>
    </row>
    <row r="25" spans="1:19">
      <c r="A25" s="20"/>
      <c r="B25" s="6"/>
      <c r="C25" s="43"/>
      <c r="D25" s="38"/>
      <c r="E25" s="39"/>
      <c r="F25" s="38"/>
      <c r="G25" s="38"/>
      <c r="H25" s="40"/>
      <c r="I25" s="38"/>
      <c r="J25" s="38"/>
      <c r="K25" s="38"/>
      <c r="L25" s="38"/>
      <c r="M25" s="38"/>
      <c r="N25" s="38"/>
      <c r="O25" s="36"/>
      <c r="P25" s="36"/>
      <c r="Q25" s="17"/>
      <c r="R25" s="2"/>
    </row>
    <row r="26" spans="1:19">
      <c r="A26" s="20"/>
      <c r="B26" s="6"/>
      <c r="C26" s="44" t="s">
        <v>13</v>
      </c>
      <c r="D26" s="45" t="str" cm="1">
        <f t="array" ref="D26">SUMPRODUCT(--(D7:D22=$P$7:$P$22), --($P$7:$P$22&lt;&gt;"")) &amp; "-" &amp; SUMPRODUCT(--(D7:D22&lt;&gt;$P$7:$P$22), --($P$7:$P$22&lt;&gt;""))</f>
        <v>10-6</v>
      </c>
      <c r="E26" s="46" t="str" cm="1">
        <f t="array" ref="E26">SUMPRODUCT(--(E7:E22=$P$7:$P$22), --($P$7:$P$22&lt;&gt;"")) &amp; "-" &amp; SUMPRODUCT(--(E7:E22&lt;&gt;$P$7:$P$22), --($P$7:$P$22&lt;&gt;""))</f>
        <v>13-3</v>
      </c>
      <c r="F26" s="45" t="str" cm="1">
        <f t="array" ref="F26">SUMPRODUCT(--(F7:F22=$P$7:$P$22), --($P$7:$P$22&lt;&gt;"")) &amp; "-" &amp; SUMPRODUCT(--(F7:F22&lt;&gt;$P$7:$P$22), --($P$7:$P$22&lt;&gt;""))</f>
        <v>9-7</v>
      </c>
      <c r="G26" s="45" t="str" cm="1">
        <f t="array" ref="G26">SUMPRODUCT(--(G7:G22=$P$7:$P$22), --($P$7:$P$22&lt;&gt;"")) &amp; "-" &amp; SUMPRODUCT(--(G7:G22&lt;&gt;$P$7:$P$22), --($P$7:$P$22&lt;&gt;""))</f>
        <v>7-9</v>
      </c>
      <c r="H26" s="47" t="str" cm="1">
        <f t="array" ref="H26">SUMPRODUCT(--(H7:H22=$P$7:$P$22), --($P$7:$P$22&lt;&gt;"")) &amp; "-" &amp; SUMPRODUCT(--(H7:H22&lt;&gt;$P$7:$P$22), --($P$7:$P$22&lt;&gt;""))</f>
        <v>12-4</v>
      </c>
      <c r="I26" s="45" t="str" cm="1">
        <f t="array" ref="I26">SUMPRODUCT(--(I7:I22=$P$7:$P$22), --($P$7:$P$22&lt;&gt;"")) &amp; "-" &amp; SUMPRODUCT(--(I7:I22&lt;&gt;$P$7:$P$22), --($P$7:$P$22&lt;&gt;""))</f>
        <v>11-5</v>
      </c>
      <c r="J26" s="45" t="str" cm="1">
        <f t="array" ref="J26">SUMPRODUCT(--(J7:J22=$P$7:$P$22), --($P$7:$P$22&lt;&gt;"")) &amp; "-" &amp; SUMPRODUCT(--(J7:J22&lt;&gt;$P$7:$P$22), --($P$7:$P$22&lt;&gt;""))</f>
        <v>8-8</v>
      </c>
      <c r="K26" s="45" t="str" cm="1">
        <f t="array" ref="K26">SUMPRODUCT(--(K7:K22=$P$7:$P$22), --($P$7:$P$22&lt;&gt;"")) &amp; "-" &amp; SUMPRODUCT(--(K7:K22&lt;&gt;$P$7:$P$22), --($P$7:$P$22&lt;&gt;""))</f>
        <v>14-2</v>
      </c>
      <c r="L26" s="45" t="str" cm="1">
        <f t="array" ref="L26">SUMPRODUCT(--(L7:L22=$P$7:$P$22), --($P$7:$P$22&lt;&gt;"")) &amp; "-" &amp; SUMPRODUCT(--(L7:L22&lt;&gt;$P$7:$P$22), --($P$7:$P$22&lt;&gt;""))</f>
        <v>11-5</v>
      </c>
      <c r="M26" s="45" t="str" cm="1">
        <f t="array" ref="M26">SUMPRODUCT(--(M7:M22=$P$7:$P$22), --($P$7:$P$22&lt;&gt;"")) &amp; "-" &amp; SUMPRODUCT(--(M7:M22&lt;&gt;$P$7:$P$22), --($P$7:$P$22&lt;&gt;""))</f>
        <v>14-2</v>
      </c>
      <c r="N26" s="45" t="str" cm="1">
        <f t="array" ref="N26">SUMPRODUCT(--(N7:N22=$P$7:$P$22), --($P$7:$P$22&lt;&gt;"")) &amp; "-" &amp; SUMPRODUCT(--(N7:N22&lt;&gt;$P$7:$P$22), --($P$7:$P$22&lt;&gt;""))</f>
        <v>10-6</v>
      </c>
      <c r="O26" s="36"/>
      <c r="P26" s="36"/>
      <c r="Q26" s="17"/>
      <c r="R26" s="2"/>
    </row>
    <row r="27" spans="1:19">
      <c r="A27" s="20"/>
      <c r="B27" s="6"/>
      <c r="C27" s="7"/>
      <c r="D27" s="11">
        <f>VALUE(LEFT(D26,FIND("-",D26)-1)) - VALUE(MID(D26,FIND("-",D26)+1,LEN(D26)-FIND("-",D26)))</f>
        <v>4</v>
      </c>
      <c r="E27" s="11">
        <f t="shared" ref="E27:N27" si="0">VALUE(LEFT(E26,FIND("-",E26)-1)) - VALUE(MID(E26,FIND("-",E26)+1,LEN(E26)-FIND("-",E26)))</f>
        <v>10</v>
      </c>
      <c r="F27" s="11">
        <f t="shared" si="0"/>
        <v>2</v>
      </c>
      <c r="G27" s="11">
        <f t="shared" si="0"/>
        <v>-2</v>
      </c>
      <c r="H27" s="11">
        <f t="shared" si="0"/>
        <v>8</v>
      </c>
      <c r="I27" s="11">
        <f t="shared" si="0"/>
        <v>6</v>
      </c>
      <c r="J27" s="11">
        <f t="shared" si="0"/>
        <v>0</v>
      </c>
      <c r="K27" s="11">
        <f t="shared" si="0"/>
        <v>12</v>
      </c>
      <c r="L27" s="11">
        <f t="shared" si="0"/>
        <v>6</v>
      </c>
      <c r="M27" s="11">
        <f t="shared" si="0"/>
        <v>12</v>
      </c>
      <c r="N27" s="11">
        <f t="shared" si="0"/>
        <v>4</v>
      </c>
      <c r="O27" s="6"/>
      <c r="P27" s="6"/>
      <c r="Q27" s="17"/>
      <c r="R27" s="2"/>
    </row>
    <row r="28" spans="1:19" ht="24" customHeight="1">
      <c r="A28" s="20"/>
      <c r="B28" s="12"/>
      <c r="C28" s="199" t="s">
        <v>17</v>
      </c>
      <c r="D28" s="200"/>
      <c r="E28" s="201" t="str" cm="1">
        <f t="array" ref="E28">IF(P24="", "",
   _xlfn.LET(
      _xlpm.scores, D27:N27,
      _xlpm.names, D5:N5,
      _xlpm.tiebreaks, D24:N24,
      _xlpm.guesses, D26:N26,
      _xlpm.maxScore, MAX(_xlpm.scores),
      _xlpm.topScorers, IF(_xlpm.scores=_xlpm.maxScore, 1, 0),
      _xlpm.tiebreakDiffs, IF(_xlpm.topScorers, ABS(_xlpm.tiebreaks - P24), ""),
      _xlpm.minDiff, MIN(IF(_xlpm.tiebreakDiffs&lt;&gt;"", _xlpm.tiebreakDiffs)),
      _xlpm.winners, IF((_xlpm.scores=_xlpm.maxScore)*(ABS(_xlpm.tiebreaks - P24)=_xlpm.minDiff), _xlpm.names, ""),
      _xlpm.guessMatch, INDEX(_xlpm.guesses, MATCH(1, (_xlpm.scores=_xlpm.maxScore)*(ABS(_xlpm.tiebreaks - P24)=_xlpm.minDiff), 0)),
      _xlpm.winnerList, _xlfn.TEXTJOIN(", ", TRUE, _xlpm.winners),
      IF(COUNTA(_xlfn._xlws.FILTER(_xlpm.winners, _xlpm.winners&lt;&gt;""))=1,
         _xlpm.winnerList &amp; " (" &amp; _xlpm.guessMatch &amp; ")",
         _xlpm.winnerList
      )
   )
)</f>
        <v>Kevin (14-2)</v>
      </c>
      <c r="F28" s="202"/>
      <c r="G28" s="203"/>
      <c r="H28" s="6"/>
      <c r="I28" s="6"/>
      <c r="J28" s="6"/>
      <c r="K28" s="6"/>
      <c r="L28" s="6"/>
      <c r="M28" s="6"/>
      <c r="N28" s="6"/>
      <c r="O28" s="6"/>
      <c r="P28" s="6"/>
      <c r="Q28" s="17"/>
    </row>
    <row r="29" spans="1:19" ht="15" customHeight="1" thickBot="1">
      <c r="A29" s="20"/>
      <c r="B29" s="22"/>
      <c r="C29" s="32"/>
      <c r="D29" s="32"/>
      <c r="E29" s="33"/>
      <c r="F29" s="33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5"/>
    </row>
    <row r="30" spans="1:19" ht="16" thickTop="1">
      <c r="D30" s="1"/>
    </row>
    <row r="35" spans="9:9" ht="16" thickBot="1"/>
    <row r="36" spans="9:9" ht="16" thickTop="1">
      <c r="I36" s="13"/>
    </row>
  </sheetData>
  <sheetProtection selectLockedCells="1"/>
  <customSheetViews>
    <customSheetView guid="{096EED88-6BAE-D941-AE0E-0C5B75B09829}" fitToPage="1">
      <selection activeCell="U19" sqref="U19"/>
      <pageMargins left="0.7" right="0.7" top="0.75" bottom="0.75" header="0.3" footer="0.3"/>
      <pageSetup scale="65" orientation="landscape" r:id="rId1"/>
    </customSheetView>
  </customSheetViews>
  <mergeCells count="17">
    <mergeCell ref="R5:R6"/>
    <mergeCell ref="C28:D28"/>
    <mergeCell ref="E28:G28"/>
    <mergeCell ref="C3:P3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  <mergeCell ref="N5:N6"/>
    <mergeCell ref="P5:P6"/>
  </mergeCells>
  <conditionalFormatting sqref="D7:N22">
    <cfRule type="expression" dxfId="102" priority="3">
      <formula>AND($P7=D7, $P7&lt;&gt;"")</formula>
    </cfRule>
    <cfRule type="expression" dxfId="101" priority="4">
      <formula>AND($P7&lt;&gt;D7, $P7&lt;&gt;"")</formula>
    </cfRule>
  </conditionalFormatting>
  <conditionalFormatting sqref="D26:N26">
    <cfRule type="expression" dxfId="100" priority="1">
      <formula>AND(--LEFT(D26,FIND("-",D26)-1) = MAX(--LEFT($D$26:$N$26,FIND("-",$D$26:$N$26)-1)), COUNTIF($D$26:$N$26, MAX(--LEFT($D$26:$N$26,FIND("-",$D$26:$N$26)-1)) &amp; "-*") &gt; 1)</formula>
    </cfRule>
    <cfRule type="expression" dxfId="99" priority="2">
      <formula>AND(--LEFT(D26,FIND("-",D26)-1) = MAX(--LEFT($D$26:$N$26,FIND("-",$D$26:$N$26)-1)), COUNTIF($D$26:$N$26, MAX(--LEFT($D$26:$N$26,FIND("-",$D$26:$N$26)-1)) &amp; "-*") = 1)</formula>
    </cfRule>
  </conditionalFormatting>
  <pageMargins left="0.7" right="0.7" top="0.75" bottom="0.75" header="0.3" footer="0.3"/>
  <pageSetup scale="65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5" name="Button 1">
              <controlPr defaultSize="0" print="0" autoFill="0" autoPict="0" macro="[0]!UpdateCurrentSheet">
                <anchor moveWithCells="1" sizeWithCells="1">
                  <from>
                    <xdr:col>19</xdr:col>
                    <xdr:colOff>330200</xdr:colOff>
                    <xdr:row>2</xdr:row>
                    <xdr:rowOff>12700</xdr:rowOff>
                  </from>
                  <to>
                    <xdr:col>20</xdr:col>
                    <xdr:colOff>304800</xdr:colOff>
                    <xdr:row>2</xdr:row>
                    <xdr:rowOff>330200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CE0F3-7EDD-41B2-9D7A-E706BC9E74E6}">
  <sheetPr codeName="Sheet17"/>
  <dimension ref="A2:S36"/>
  <sheetViews>
    <sheetView workbookViewId="0">
      <selection activeCell="T25" sqref="T25"/>
    </sheetView>
  </sheetViews>
  <sheetFormatPr baseColWidth="10" defaultColWidth="8.83203125" defaultRowHeight="15"/>
  <cols>
    <col min="2" max="2" width="1.6640625" customWidth="1"/>
    <col min="3" max="3" width="11.6640625" style="1" bestFit="1" customWidth="1"/>
    <col min="4" max="14" width="13.1640625" customWidth="1"/>
    <col min="15" max="15" width="1.6640625" customWidth="1"/>
    <col min="16" max="16" width="15.5" bestFit="1" customWidth="1"/>
    <col min="17" max="17" width="1.6640625" customWidth="1"/>
    <col min="18" max="18" width="18.33203125" customWidth="1"/>
    <col min="19" max="19" width="1.6640625" customWidth="1"/>
  </cols>
  <sheetData>
    <row r="2" spans="1:19" ht="15" customHeight="1" thickBot="1">
      <c r="B2" s="31"/>
      <c r="C2" s="30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</row>
    <row r="3" spans="1:19" ht="32.25" customHeight="1" thickBot="1">
      <c r="B3" s="27"/>
      <c r="C3" s="186" t="s">
        <v>138</v>
      </c>
      <c r="D3" s="186"/>
      <c r="E3" s="186"/>
      <c r="F3" s="186"/>
      <c r="G3" s="186"/>
      <c r="H3" s="186"/>
      <c r="I3" s="186"/>
      <c r="J3" s="186"/>
      <c r="K3" s="186"/>
      <c r="L3" s="186"/>
      <c r="M3" s="186"/>
      <c r="N3" s="186"/>
      <c r="O3" s="186"/>
      <c r="P3" s="186"/>
      <c r="Q3" s="28"/>
    </row>
    <row r="4" spans="1:19" ht="15" customHeight="1" thickBot="1">
      <c r="A4" s="20"/>
      <c r="B4" s="19"/>
      <c r="C4" s="14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6"/>
      <c r="P4" s="6"/>
      <c r="Q4" s="16"/>
      <c r="R4" s="2"/>
    </row>
    <row r="5" spans="1:19" ht="23.25" customHeight="1" thickTop="1">
      <c r="A5" s="20"/>
      <c r="B5" s="6"/>
      <c r="C5" s="187" t="s">
        <v>18</v>
      </c>
      <c r="D5" s="189" t="s">
        <v>14</v>
      </c>
      <c r="E5" s="191" t="s">
        <v>2</v>
      </c>
      <c r="F5" s="193" t="s">
        <v>3</v>
      </c>
      <c r="G5" s="193" t="s">
        <v>4</v>
      </c>
      <c r="H5" s="193" t="s">
        <v>5</v>
      </c>
      <c r="I5" s="189" t="s">
        <v>6</v>
      </c>
      <c r="J5" s="189" t="s">
        <v>7</v>
      </c>
      <c r="K5" s="189" t="s">
        <v>8</v>
      </c>
      <c r="L5" s="191" t="s">
        <v>9</v>
      </c>
      <c r="M5" s="193" t="s">
        <v>10</v>
      </c>
      <c r="N5" s="189" t="s">
        <v>11</v>
      </c>
      <c r="O5" s="6"/>
      <c r="P5" s="195" t="s">
        <v>12</v>
      </c>
      <c r="Q5" s="6"/>
      <c r="R5" s="204" t="s">
        <v>389</v>
      </c>
    </row>
    <row r="6" spans="1:19" ht="8" customHeight="1" thickBot="1">
      <c r="A6" s="20"/>
      <c r="B6" s="6"/>
      <c r="C6" s="188"/>
      <c r="D6" s="190"/>
      <c r="E6" s="192"/>
      <c r="F6" s="194"/>
      <c r="G6" s="194"/>
      <c r="H6" s="194"/>
      <c r="I6" s="190"/>
      <c r="J6" s="190"/>
      <c r="K6" s="190"/>
      <c r="L6" s="192"/>
      <c r="M6" s="194"/>
      <c r="N6" s="190"/>
      <c r="O6" s="6"/>
      <c r="P6" s="196"/>
      <c r="Q6" s="6"/>
      <c r="R6" s="205"/>
    </row>
    <row r="7" spans="1:19" ht="16" thickTop="1">
      <c r="A7" s="20"/>
      <c r="B7" s="21"/>
      <c r="C7" s="81" t="s">
        <v>152</v>
      </c>
      <c r="D7" s="51" t="s">
        <v>333</v>
      </c>
      <c r="E7" s="52" t="s">
        <v>333</v>
      </c>
      <c r="F7" s="53" t="s">
        <v>333</v>
      </c>
      <c r="G7" s="53" t="s">
        <v>333</v>
      </c>
      <c r="H7" s="51" t="s">
        <v>333</v>
      </c>
      <c r="I7" s="53" t="s">
        <v>311</v>
      </c>
      <c r="J7" s="53" t="s">
        <v>333</v>
      </c>
      <c r="K7" s="53" t="s">
        <v>311</v>
      </c>
      <c r="L7" s="53" t="s">
        <v>333</v>
      </c>
      <c r="M7" s="53" t="s">
        <v>333</v>
      </c>
      <c r="N7" s="54" t="s">
        <v>333</v>
      </c>
      <c r="O7" s="36"/>
      <c r="P7" s="56" t="s">
        <v>333</v>
      </c>
      <c r="Q7" s="6"/>
      <c r="R7" s="117" t="s">
        <v>356</v>
      </c>
      <c r="S7" s="113"/>
    </row>
    <row r="8" spans="1:19">
      <c r="A8" s="20"/>
      <c r="B8" s="21"/>
      <c r="C8" s="85" t="s">
        <v>153</v>
      </c>
      <c r="D8" s="57" t="s">
        <v>318</v>
      </c>
      <c r="E8" s="58" t="s">
        <v>318</v>
      </c>
      <c r="F8" s="59" t="s">
        <v>318</v>
      </c>
      <c r="G8" s="59" t="s">
        <v>312</v>
      </c>
      <c r="H8" s="60" t="s">
        <v>318</v>
      </c>
      <c r="I8" s="59" t="s">
        <v>318</v>
      </c>
      <c r="J8" s="59" t="s">
        <v>318</v>
      </c>
      <c r="K8" s="59" t="s">
        <v>312</v>
      </c>
      <c r="L8" s="59" t="s">
        <v>318</v>
      </c>
      <c r="M8" s="59" t="s">
        <v>318</v>
      </c>
      <c r="N8" s="61" t="s">
        <v>318</v>
      </c>
      <c r="O8" s="36"/>
      <c r="P8" s="62" t="s">
        <v>318</v>
      </c>
      <c r="Q8" s="6"/>
      <c r="R8" s="117" t="s">
        <v>357</v>
      </c>
      <c r="S8" s="113"/>
    </row>
    <row r="9" spans="1:19">
      <c r="A9" s="20"/>
      <c r="B9" s="21"/>
      <c r="C9" s="89" t="s">
        <v>46</v>
      </c>
      <c r="D9" s="63" t="s">
        <v>336</v>
      </c>
      <c r="E9" s="64" t="s">
        <v>335</v>
      </c>
      <c r="F9" s="65" t="s">
        <v>336</v>
      </c>
      <c r="G9" s="65" t="s">
        <v>336</v>
      </c>
      <c r="H9" s="66" t="s">
        <v>336</v>
      </c>
      <c r="I9" s="65" t="s">
        <v>336</v>
      </c>
      <c r="J9" s="65" t="s">
        <v>336</v>
      </c>
      <c r="K9" s="65" t="s">
        <v>336</v>
      </c>
      <c r="L9" s="65" t="s">
        <v>336</v>
      </c>
      <c r="M9" s="65" t="s">
        <v>335</v>
      </c>
      <c r="N9" s="61" t="s">
        <v>336</v>
      </c>
      <c r="O9" s="36"/>
      <c r="P9" s="104" t="s">
        <v>336</v>
      </c>
      <c r="Q9" s="6"/>
      <c r="R9" s="117" t="s">
        <v>358</v>
      </c>
      <c r="S9" s="113"/>
    </row>
    <row r="10" spans="1:19">
      <c r="A10" s="20"/>
      <c r="B10" s="21"/>
      <c r="C10" s="89" t="s">
        <v>115</v>
      </c>
      <c r="D10" s="63" t="s">
        <v>321</v>
      </c>
      <c r="E10" s="64" t="s">
        <v>321</v>
      </c>
      <c r="F10" s="65" t="s">
        <v>321</v>
      </c>
      <c r="G10" s="65" t="s">
        <v>321</v>
      </c>
      <c r="H10" s="66" t="s">
        <v>321</v>
      </c>
      <c r="I10" s="65" t="s">
        <v>315</v>
      </c>
      <c r="J10" s="65" t="s">
        <v>321</v>
      </c>
      <c r="K10" s="65" t="s">
        <v>315</v>
      </c>
      <c r="L10" s="65" t="s">
        <v>321</v>
      </c>
      <c r="M10" s="65" t="s">
        <v>321</v>
      </c>
      <c r="N10" s="61" t="s">
        <v>321</v>
      </c>
      <c r="O10" s="36"/>
      <c r="P10" s="104" t="s">
        <v>321</v>
      </c>
      <c r="Q10" s="6"/>
      <c r="R10" s="117" t="s">
        <v>359</v>
      </c>
      <c r="S10" s="113"/>
    </row>
    <row r="11" spans="1:19">
      <c r="A11" s="20"/>
      <c r="B11" s="21"/>
      <c r="C11" s="89" t="s">
        <v>154</v>
      </c>
      <c r="D11" s="63" t="s">
        <v>330</v>
      </c>
      <c r="E11" s="64" t="s">
        <v>337</v>
      </c>
      <c r="F11" s="65" t="s">
        <v>330</v>
      </c>
      <c r="G11" s="65" t="s">
        <v>330</v>
      </c>
      <c r="H11" s="66" t="s">
        <v>330</v>
      </c>
      <c r="I11" s="65" t="s">
        <v>330</v>
      </c>
      <c r="J11" s="65" t="s">
        <v>337</v>
      </c>
      <c r="K11" s="65" t="s">
        <v>337</v>
      </c>
      <c r="L11" s="65" t="s">
        <v>330</v>
      </c>
      <c r="M11" s="65" t="s">
        <v>330</v>
      </c>
      <c r="N11" s="61" t="s">
        <v>330</v>
      </c>
      <c r="O11" s="36"/>
      <c r="P11" s="104" t="s">
        <v>330</v>
      </c>
      <c r="Q11" s="6"/>
      <c r="R11" s="117" t="s">
        <v>360</v>
      </c>
      <c r="S11" s="113"/>
    </row>
    <row r="12" spans="1:19">
      <c r="A12" s="20"/>
      <c r="B12" s="21"/>
      <c r="C12" s="94" t="s">
        <v>55</v>
      </c>
      <c r="D12" s="67" t="s">
        <v>329</v>
      </c>
      <c r="E12" s="68" t="s">
        <v>309</v>
      </c>
      <c r="F12" s="53" t="s">
        <v>309</v>
      </c>
      <c r="G12" s="53" t="s">
        <v>329</v>
      </c>
      <c r="H12" s="51" t="s">
        <v>309</v>
      </c>
      <c r="I12" s="53" t="s">
        <v>309</v>
      </c>
      <c r="J12" s="53" t="s">
        <v>329</v>
      </c>
      <c r="K12" s="53" t="s">
        <v>309</v>
      </c>
      <c r="L12" s="53" t="s">
        <v>329</v>
      </c>
      <c r="M12" s="53" t="s">
        <v>329</v>
      </c>
      <c r="N12" s="54" t="s">
        <v>329</v>
      </c>
      <c r="O12" s="36"/>
      <c r="P12" s="104" t="s">
        <v>309</v>
      </c>
      <c r="Q12" s="6"/>
      <c r="R12" s="117" t="s">
        <v>361</v>
      </c>
      <c r="S12" s="113"/>
    </row>
    <row r="13" spans="1:19">
      <c r="A13" s="20"/>
      <c r="B13" s="21"/>
      <c r="C13" s="89" t="s">
        <v>155</v>
      </c>
      <c r="D13" s="69" t="s">
        <v>326</v>
      </c>
      <c r="E13" s="70" t="s">
        <v>320</v>
      </c>
      <c r="F13" s="65" t="s">
        <v>320</v>
      </c>
      <c r="G13" s="65" t="s">
        <v>320</v>
      </c>
      <c r="H13" s="66" t="s">
        <v>320</v>
      </c>
      <c r="I13" s="65" t="s">
        <v>326</v>
      </c>
      <c r="J13" s="65" t="s">
        <v>326</v>
      </c>
      <c r="K13" s="65" t="s">
        <v>320</v>
      </c>
      <c r="L13" s="65" t="s">
        <v>320</v>
      </c>
      <c r="M13" s="65" t="s">
        <v>320</v>
      </c>
      <c r="N13" s="61" t="s">
        <v>320</v>
      </c>
      <c r="O13" s="36"/>
      <c r="P13" s="104" t="s">
        <v>320</v>
      </c>
      <c r="Q13" s="6"/>
      <c r="R13" s="117" t="s">
        <v>362</v>
      </c>
      <c r="S13" s="113"/>
    </row>
    <row r="14" spans="1:19">
      <c r="A14" s="20"/>
      <c r="B14" s="21"/>
      <c r="C14" s="89" t="s">
        <v>36</v>
      </c>
      <c r="D14" s="69" t="s">
        <v>314</v>
      </c>
      <c r="E14" s="70" t="s">
        <v>314</v>
      </c>
      <c r="F14" s="65" t="s">
        <v>314</v>
      </c>
      <c r="G14" s="65" t="s">
        <v>314</v>
      </c>
      <c r="H14" s="66" t="s">
        <v>314</v>
      </c>
      <c r="I14" s="65" t="s">
        <v>314</v>
      </c>
      <c r="J14" s="65" t="s">
        <v>314</v>
      </c>
      <c r="K14" s="65" t="s">
        <v>314</v>
      </c>
      <c r="L14" s="65" t="s">
        <v>314</v>
      </c>
      <c r="M14" s="65" t="s">
        <v>314</v>
      </c>
      <c r="N14" s="61" t="s">
        <v>314</v>
      </c>
      <c r="O14" s="36"/>
      <c r="P14" s="104" t="s">
        <v>314</v>
      </c>
      <c r="Q14" s="6"/>
      <c r="R14" s="117" t="s">
        <v>363</v>
      </c>
      <c r="S14" s="113"/>
    </row>
    <row r="15" spans="1:19">
      <c r="A15" s="20"/>
      <c r="B15" s="21"/>
      <c r="C15" s="89" t="s">
        <v>156</v>
      </c>
      <c r="D15" s="69" t="s">
        <v>328</v>
      </c>
      <c r="E15" s="70" t="s">
        <v>327</v>
      </c>
      <c r="F15" s="65" t="s">
        <v>327</v>
      </c>
      <c r="G15" s="65" t="s">
        <v>327</v>
      </c>
      <c r="H15" s="66" t="s">
        <v>327</v>
      </c>
      <c r="I15" s="65" t="s">
        <v>327</v>
      </c>
      <c r="J15" s="65" t="s">
        <v>327</v>
      </c>
      <c r="K15" s="65" t="s">
        <v>327</v>
      </c>
      <c r="L15" s="65" t="s">
        <v>327</v>
      </c>
      <c r="M15" s="65" t="s">
        <v>327</v>
      </c>
      <c r="N15" s="61" t="s">
        <v>328</v>
      </c>
      <c r="O15" s="36"/>
      <c r="P15" s="104" t="s">
        <v>328</v>
      </c>
      <c r="Q15" s="6"/>
      <c r="R15" s="117" t="s">
        <v>364</v>
      </c>
      <c r="S15" s="113"/>
    </row>
    <row r="16" spans="1:19">
      <c r="A16" s="20"/>
      <c r="B16" s="21"/>
      <c r="C16" s="89" t="s">
        <v>71</v>
      </c>
      <c r="D16" s="69" t="s">
        <v>331</v>
      </c>
      <c r="E16" s="70" t="s">
        <v>331</v>
      </c>
      <c r="F16" s="65" t="s">
        <v>331</v>
      </c>
      <c r="G16" s="65" t="s">
        <v>331</v>
      </c>
      <c r="H16" s="66" t="s">
        <v>331</v>
      </c>
      <c r="I16" s="65" t="s">
        <v>331</v>
      </c>
      <c r="J16" s="65" t="s">
        <v>331</v>
      </c>
      <c r="K16" s="65" t="s">
        <v>331</v>
      </c>
      <c r="L16" s="65" t="s">
        <v>331</v>
      </c>
      <c r="M16" s="65" t="s">
        <v>331</v>
      </c>
      <c r="N16" s="61" t="s">
        <v>331</v>
      </c>
      <c r="O16" s="36"/>
      <c r="P16" s="104" t="s">
        <v>331</v>
      </c>
      <c r="Q16" s="6"/>
      <c r="R16" s="117" t="s">
        <v>365</v>
      </c>
      <c r="S16" s="113"/>
    </row>
    <row r="17" spans="1:19">
      <c r="A17" s="20"/>
      <c r="B17" s="21"/>
      <c r="C17" s="89" t="s">
        <v>110</v>
      </c>
      <c r="D17" s="69" t="s">
        <v>308</v>
      </c>
      <c r="E17" s="70" t="s">
        <v>308</v>
      </c>
      <c r="F17" s="65" t="s">
        <v>313</v>
      </c>
      <c r="G17" s="65" t="s">
        <v>313</v>
      </c>
      <c r="H17" s="66" t="s">
        <v>313</v>
      </c>
      <c r="I17" s="65" t="s">
        <v>308</v>
      </c>
      <c r="J17" s="65" t="s">
        <v>308</v>
      </c>
      <c r="K17" s="65" t="s">
        <v>308</v>
      </c>
      <c r="L17" s="65" t="s">
        <v>313</v>
      </c>
      <c r="M17" s="65" t="s">
        <v>308</v>
      </c>
      <c r="N17" s="61" t="s">
        <v>313</v>
      </c>
      <c r="O17" s="36"/>
      <c r="P17" s="104" t="s">
        <v>308</v>
      </c>
      <c r="Q17" s="6"/>
      <c r="R17" s="117" t="s">
        <v>366</v>
      </c>
      <c r="S17" s="113"/>
    </row>
    <row r="18" spans="1:19">
      <c r="A18" s="20"/>
      <c r="B18" s="21"/>
      <c r="C18" s="89" t="s">
        <v>117</v>
      </c>
      <c r="D18" s="69" t="s">
        <v>319</v>
      </c>
      <c r="E18" s="70" t="s">
        <v>319</v>
      </c>
      <c r="F18" s="65" t="s">
        <v>319</v>
      </c>
      <c r="G18" s="65" t="s">
        <v>319</v>
      </c>
      <c r="H18" s="66" t="s">
        <v>319</v>
      </c>
      <c r="I18" s="65" t="s">
        <v>319</v>
      </c>
      <c r="J18" s="65" t="s">
        <v>319</v>
      </c>
      <c r="K18" s="65" t="s">
        <v>338</v>
      </c>
      <c r="L18" s="65" t="s">
        <v>319</v>
      </c>
      <c r="M18" s="65" t="s">
        <v>338</v>
      </c>
      <c r="N18" s="61" t="s">
        <v>319</v>
      </c>
      <c r="O18" s="36"/>
      <c r="P18" s="104" t="s">
        <v>319</v>
      </c>
      <c r="Q18" s="6"/>
      <c r="R18" s="117" t="s">
        <v>367</v>
      </c>
      <c r="S18" s="113"/>
    </row>
    <row r="19" spans="1:19">
      <c r="A19" s="20"/>
      <c r="B19" s="21"/>
      <c r="C19" s="89" t="s">
        <v>157</v>
      </c>
      <c r="D19" s="69" t="s">
        <v>316</v>
      </c>
      <c r="E19" s="70" t="s">
        <v>316</v>
      </c>
      <c r="F19" s="65" t="s">
        <v>316</v>
      </c>
      <c r="G19" s="65" t="s">
        <v>307</v>
      </c>
      <c r="H19" s="66" t="s">
        <v>307</v>
      </c>
      <c r="I19" s="65" t="s">
        <v>316</v>
      </c>
      <c r="J19" s="65" t="s">
        <v>316</v>
      </c>
      <c r="K19" s="65" t="s">
        <v>316</v>
      </c>
      <c r="L19" s="65" t="s">
        <v>307</v>
      </c>
      <c r="M19" s="65" t="s">
        <v>316</v>
      </c>
      <c r="N19" s="61" t="s">
        <v>307</v>
      </c>
      <c r="O19" s="36"/>
      <c r="P19" s="104" t="s">
        <v>307</v>
      </c>
      <c r="Q19" s="6"/>
      <c r="R19" s="117" t="s">
        <v>368</v>
      </c>
      <c r="S19" s="113"/>
    </row>
    <row r="20" spans="1:19">
      <c r="A20" s="20"/>
      <c r="B20" s="21"/>
      <c r="C20" s="89" t="s">
        <v>158</v>
      </c>
      <c r="D20" s="69" t="s">
        <v>332</v>
      </c>
      <c r="E20" s="70" t="s">
        <v>332</v>
      </c>
      <c r="F20" s="65" t="s">
        <v>332</v>
      </c>
      <c r="G20" s="65" t="s">
        <v>332</v>
      </c>
      <c r="H20" s="66" t="s">
        <v>332</v>
      </c>
      <c r="I20" s="65" t="s">
        <v>332</v>
      </c>
      <c r="J20" s="65" t="s">
        <v>332</v>
      </c>
      <c r="K20" s="65" t="s">
        <v>332</v>
      </c>
      <c r="L20" s="65" t="s">
        <v>332</v>
      </c>
      <c r="M20" s="65" t="s">
        <v>332</v>
      </c>
      <c r="N20" s="61" t="s">
        <v>332</v>
      </c>
      <c r="O20" s="36"/>
      <c r="P20" s="104" t="s">
        <v>324</v>
      </c>
      <c r="Q20" s="6"/>
      <c r="R20" s="117" t="s">
        <v>369</v>
      </c>
      <c r="S20" s="113"/>
    </row>
    <row r="21" spans="1:19">
      <c r="A21" s="20"/>
      <c r="B21" s="21"/>
      <c r="C21" s="89" t="s">
        <v>159</v>
      </c>
      <c r="D21" s="69" t="s">
        <v>322</v>
      </c>
      <c r="E21" s="70" t="s">
        <v>317</v>
      </c>
      <c r="F21" s="65" t="s">
        <v>317</v>
      </c>
      <c r="G21" s="65" t="s">
        <v>322</v>
      </c>
      <c r="H21" s="66" t="s">
        <v>317</v>
      </c>
      <c r="I21" s="65" t="s">
        <v>317</v>
      </c>
      <c r="J21" s="65" t="s">
        <v>322</v>
      </c>
      <c r="K21" s="65" t="s">
        <v>317</v>
      </c>
      <c r="L21" s="65" t="s">
        <v>317</v>
      </c>
      <c r="M21" s="65" t="s">
        <v>317</v>
      </c>
      <c r="N21" s="61" t="s">
        <v>322</v>
      </c>
      <c r="O21" s="36"/>
      <c r="P21" s="104" t="s">
        <v>317</v>
      </c>
      <c r="Q21" s="6"/>
      <c r="R21" s="117" t="s">
        <v>370</v>
      </c>
      <c r="S21" s="113"/>
    </row>
    <row r="22" spans="1:19" ht="16" thickBot="1">
      <c r="A22" s="20"/>
      <c r="B22" s="21"/>
      <c r="C22" s="99" t="s">
        <v>143</v>
      </c>
      <c r="D22" s="71" t="s">
        <v>323</v>
      </c>
      <c r="E22" s="72" t="s">
        <v>323</v>
      </c>
      <c r="F22" s="73" t="s">
        <v>334</v>
      </c>
      <c r="G22" s="73" t="s">
        <v>323</v>
      </c>
      <c r="H22" s="71" t="s">
        <v>323</v>
      </c>
      <c r="I22" s="73" t="s">
        <v>323</v>
      </c>
      <c r="J22" s="73" t="s">
        <v>323</v>
      </c>
      <c r="K22" s="73" t="s">
        <v>334</v>
      </c>
      <c r="L22" s="73" t="s">
        <v>323</v>
      </c>
      <c r="M22" s="73" t="s">
        <v>323</v>
      </c>
      <c r="N22" s="74" t="s">
        <v>323</v>
      </c>
      <c r="O22" s="36"/>
      <c r="P22" s="105" t="s">
        <v>323</v>
      </c>
      <c r="Q22" s="6"/>
      <c r="R22" s="118" t="s">
        <v>371</v>
      </c>
      <c r="S22" s="113"/>
    </row>
    <row r="23" spans="1:19" ht="16" thickTop="1">
      <c r="A23" s="20"/>
      <c r="B23" s="6"/>
      <c r="C23" s="37"/>
      <c r="D23" s="38"/>
      <c r="E23" s="39"/>
      <c r="F23" s="38"/>
      <c r="G23" s="38"/>
      <c r="H23" s="40"/>
      <c r="I23" s="38"/>
      <c r="J23" s="38"/>
      <c r="K23" s="38"/>
      <c r="L23" s="38"/>
      <c r="M23" s="38"/>
      <c r="N23" s="38"/>
      <c r="O23" s="36"/>
      <c r="P23" s="41" t="s">
        <v>16</v>
      </c>
      <c r="Q23" s="17"/>
      <c r="R23" s="2"/>
    </row>
    <row r="24" spans="1:19">
      <c r="A24" s="20"/>
      <c r="B24" s="6"/>
      <c r="C24" s="42" t="s">
        <v>15</v>
      </c>
      <c r="D24" s="82">
        <v>92</v>
      </c>
      <c r="E24" s="107">
        <v>92</v>
      </c>
      <c r="F24" s="82">
        <v>74</v>
      </c>
      <c r="G24" s="82">
        <v>89</v>
      </c>
      <c r="H24" s="83">
        <v>79</v>
      </c>
      <c r="I24" s="82">
        <v>78</v>
      </c>
      <c r="J24" s="82">
        <v>86</v>
      </c>
      <c r="K24" s="82">
        <v>85</v>
      </c>
      <c r="L24" s="82">
        <v>99</v>
      </c>
      <c r="M24" s="82">
        <v>97</v>
      </c>
      <c r="N24" s="82">
        <v>64</v>
      </c>
      <c r="O24" s="36"/>
      <c r="P24" s="106">
        <v>68</v>
      </c>
      <c r="Q24" s="17"/>
      <c r="R24" s="2"/>
    </row>
    <row r="25" spans="1:19">
      <c r="A25" s="20"/>
      <c r="B25" s="6"/>
      <c r="C25" s="43"/>
      <c r="D25" s="38"/>
      <c r="E25" s="39"/>
      <c r="F25" s="38"/>
      <c r="G25" s="38"/>
      <c r="H25" s="40"/>
      <c r="I25" s="38"/>
      <c r="J25" s="38"/>
      <c r="K25" s="38"/>
      <c r="L25" s="38"/>
      <c r="M25" s="38"/>
      <c r="N25" s="38"/>
      <c r="O25" s="36"/>
      <c r="P25" s="36"/>
      <c r="Q25" s="17"/>
      <c r="R25" s="2"/>
    </row>
    <row r="26" spans="1:19">
      <c r="A26" s="20"/>
      <c r="B26" s="6"/>
      <c r="C26" s="44" t="s">
        <v>13</v>
      </c>
      <c r="D26" s="45" t="str" cm="1">
        <f t="array" ref="D26">SUMPRODUCT(--(D7:D22=$P$7:$P$22), --($P$7:$P$22&lt;&gt;"")) &amp; "-" &amp; SUMPRODUCT(--(D7:D22&lt;&gt;$P$7:$P$22), --($P$7:$P$22&lt;&gt;""))</f>
        <v>11-5</v>
      </c>
      <c r="E26" s="46" t="str" cm="1">
        <f t="array" ref="E26">SUMPRODUCT(--(E7:E22=$P$7:$P$22), --($P$7:$P$22&lt;&gt;"")) &amp; "-" &amp; SUMPRODUCT(--(E7:E22&lt;&gt;$P$7:$P$22), --($P$7:$P$22&lt;&gt;""))</f>
        <v>11-5</v>
      </c>
      <c r="F26" s="45" t="str" cm="1">
        <f t="array" ref="F26">SUMPRODUCT(--(F7:F22=$P$7:$P$22), --($P$7:$P$22&lt;&gt;"")) &amp; "-" &amp; SUMPRODUCT(--(F7:F22&lt;&gt;$P$7:$P$22), --($P$7:$P$22&lt;&gt;""))</f>
        <v>11-5</v>
      </c>
      <c r="G26" s="45" t="str" cm="1">
        <f t="array" ref="G26">SUMPRODUCT(--(G7:G22=$P$7:$P$22), --($P$7:$P$22&lt;&gt;"")) &amp; "-" &amp; SUMPRODUCT(--(G7:G22&lt;&gt;$P$7:$P$22), --($P$7:$P$22&lt;&gt;""))</f>
        <v>10-6</v>
      </c>
      <c r="H26" s="47" t="str" cm="1">
        <f t="array" ref="H26">SUMPRODUCT(--(H7:H22=$P$7:$P$22), --($P$7:$P$22&lt;&gt;"")) &amp; "-" &amp; SUMPRODUCT(--(H7:H22&lt;&gt;$P$7:$P$22), --($P$7:$P$22&lt;&gt;""))</f>
        <v>13-3</v>
      </c>
      <c r="I26" s="45" t="str" cm="1">
        <f t="array" ref="I26">SUMPRODUCT(--(I7:I22=$P$7:$P$22), --($P$7:$P$22&lt;&gt;"")) &amp; "-" &amp; SUMPRODUCT(--(I7:I22&lt;&gt;$P$7:$P$22), --($P$7:$P$22&lt;&gt;""))</f>
        <v>10-6</v>
      </c>
      <c r="J26" s="45" t="str" cm="1">
        <f t="array" ref="J26">SUMPRODUCT(--(J7:J22=$P$7:$P$22), --($P$7:$P$22&lt;&gt;"")) &amp; "-" &amp; SUMPRODUCT(--(J7:J22&lt;&gt;$P$7:$P$22), --($P$7:$P$22&lt;&gt;""))</f>
        <v>9-7</v>
      </c>
      <c r="K26" s="45" t="str" cm="1">
        <f t="array" ref="K26">SUMPRODUCT(--(K7:K22=$P$7:$P$22), --($P$7:$P$22&lt;&gt;"")) &amp; "-" &amp; SUMPRODUCT(--(K7:K22&lt;&gt;$P$7:$P$22), --($P$7:$P$22&lt;&gt;""))</f>
        <v>7-9</v>
      </c>
      <c r="L26" s="45" t="str" cm="1">
        <f t="array" ref="L26">SUMPRODUCT(--(L7:L22=$P$7:$P$22), --($P$7:$P$22&lt;&gt;"")) &amp; "-" &amp; SUMPRODUCT(--(L7:L22&lt;&gt;$P$7:$P$22), --($P$7:$P$22&lt;&gt;""))</f>
        <v>12-4</v>
      </c>
      <c r="M26" s="45" t="str" cm="1">
        <f t="array" ref="M26">SUMPRODUCT(--(M7:M22=$P$7:$P$22), --($P$7:$P$22&lt;&gt;"")) &amp; "-" &amp; SUMPRODUCT(--(M7:M22&lt;&gt;$P$7:$P$22), --($P$7:$P$22&lt;&gt;""))</f>
        <v>10-6</v>
      </c>
      <c r="N26" s="45" t="str" cm="1">
        <f t="array" ref="N26">SUMPRODUCT(--(N7:N22=$P$7:$P$22), --($P$7:$P$22&lt;&gt;"")) &amp; "-" &amp; SUMPRODUCT(--(N7:N22&lt;&gt;$P$7:$P$22), --($P$7:$P$22&lt;&gt;""))</f>
        <v>12-4</v>
      </c>
      <c r="O26" s="36"/>
      <c r="P26" s="36"/>
      <c r="Q26" s="17"/>
      <c r="R26" s="2"/>
    </row>
    <row r="27" spans="1:19">
      <c r="A27" s="20"/>
      <c r="B27" s="6"/>
      <c r="C27" s="7"/>
      <c r="D27" s="11">
        <f>VALUE(LEFT(D26,FIND("-",D26)-1)) - VALUE(MID(D26,FIND("-",D26)+1,LEN(D26)-FIND("-",D26)))</f>
        <v>6</v>
      </c>
      <c r="E27" s="11">
        <f t="shared" ref="E27:N27" si="0">VALUE(LEFT(E26,FIND("-",E26)-1)) - VALUE(MID(E26,FIND("-",E26)+1,LEN(E26)-FIND("-",E26)))</f>
        <v>6</v>
      </c>
      <c r="F27" s="11">
        <f t="shared" si="0"/>
        <v>6</v>
      </c>
      <c r="G27" s="11">
        <f t="shared" si="0"/>
        <v>4</v>
      </c>
      <c r="H27" s="11">
        <f t="shared" si="0"/>
        <v>10</v>
      </c>
      <c r="I27" s="11">
        <f t="shared" si="0"/>
        <v>4</v>
      </c>
      <c r="J27" s="11">
        <f t="shared" si="0"/>
        <v>2</v>
      </c>
      <c r="K27" s="11">
        <f t="shared" si="0"/>
        <v>-2</v>
      </c>
      <c r="L27" s="11">
        <f t="shared" si="0"/>
        <v>8</v>
      </c>
      <c r="M27" s="11">
        <f t="shared" si="0"/>
        <v>4</v>
      </c>
      <c r="N27" s="11">
        <f t="shared" si="0"/>
        <v>8</v>
      </c>
      <c r="O27" s="6"/>
      <c r="P27" s="6"/>
      <c r="Q27" s="17"/>
      <c r="R27" s="2"/>
    </row>
    <row r="28" spans="1:19" ht="24" customHeight="1">
      <c r="A28" s="20"/>
      <c r="B28" s="12"/>
      <c r="C28" s="199" t="s">
        <v>17</v>
      </c>
      <c r="D28" s="200"/>
      <c r="E28" s="201" t="str" cm="1">
        <f t="array" ref="E28">IF(P24="", "",
   _xlfn.LET(
      _xlpm.scores, D27:N27,
      _xlpm.names, D5:N5,
      _xlpm.tiebreaks, D24:N24,
      _xlpm.guesses, D26:N26,
      _xlpm.maxScore, MAX(_xlpm.scores),
      _xlpm.topScorers, IF(_xlpm.scores=_xlpm.maxScore, 1, 0),
      _xlpm.tiebreakDiffs, IF(_xlpm.topScorers, ABS(_xlpm.tiebreaks - P24), ""),
      _xlpm.minDiff, MIN(IF(_xlpm.tiebreakDiffs&lt;&gt;"", _xlpm.tiebreakDiffs)),
      _xlpm.winners, IF((_xlpm.scores=_xlpm.maxScore)*(ABS(_xlpm.tiebreaks - P24)=_xlpm.minDiff), _xlpm.names, ""),
      _xlpm.guessMatch, INDEX(_xlpm.guesses, MATCH(1, (_xlpm.scores=_xlpm.maxScore)*(ABS(_xlpm.tiebreaks - P24)=_xlpm.minDiff), 0)),
      _xlpm.winnerList, _xlfn.TEXTJOIN(", ", TRUE, _xlpm.winners),
      IF(COUNTA(_xlfn._xlws.FILTER(_xlpm.winners, _xlpm.winners&lt;&gt;""))=1,
         _xlpm.winnerList &amp; " (" &amp; _xlpm.guessMatch &amp; ")",
         _xlpm.winnerList
      )
   )
)</f>
        <v>Ray (13-3)</v>
      </c>
      <c r="F28" s="202"/>
      <c r="G28" s="203"/>
      <c r="H28" s="6"/>
      <c r="I28" s="6"/>
      <c r="J28" s="6"/>
      <c r="K28" s="6"/>
      <c r="L28" s="6"/>
      <c r="M28" s="6"/>
      <c r="N28" s="6"/>
      <c r="O28" s="6"/>
      <c r="P28" s="6"/>
      <c r="Q28" s="17"/>
    </row>
    <row r="29" spans="1:19" ht="15" customHeight="1" thickBot="1">
      <c r="A29" s="20"/>
      <c r="B29" s="22"/>
      <c r="C29" s="32"/>
      <c r="D29" s="32"/>
      <c r="E29" s="33"/>
      <c r="F29" s="33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5"/>
    </row>
    <row r="30" spans="1:19" ht="16" thickTop="1">
      <c r="D30" s="1"/>
    </row>
    <row r="35" spans="9:9" ht="16" thickBot="1"/>
    <row r="36" spans="9:9" ht="16" thickTop="1">
      <c r="I36" s="13"/>
    </row>
  </sheetData>
  <sheetProtection selectLockedCells="1"/>
  <customSheetViews>
    <customSheetView guid="{096EED88-6BAE-D941-AE0E-0C5B75B09829}">
      <selection activeCell="T25" sqref="T25"/>
      <pageMargins left="0.7" right="0.7" top="0.75" bottom="0.75" header="0.3" footer="0.3"/>
      <pageSetup orientation="portrait" r:id="rId1"/>
    </customSheetView>
  </customSheetViews>
  <mergeCells count="17">
    <mergeCell ref="R5:R6"/>
    <mergeCell ref="C28:D28"/>
    <mergeCell ref="E28:G28"/>
    <mergeCell ref="C3:P3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  <mergeCell ref="N5:N6"/>
    <mergeCell ref="P5:P6"/>
  </mergeCells>
  <conditionalFormatting sqref="D7:N22">
    <cfRule type="expression" dxfId="98" priority="3">
      <formula>AND($P7=D7, $P7&lt;&gt;"")</formula>
    </cfRule>
    <cfRule type="expression" dxfId="97" priority="4">
      <formula>AND($P7&lt;&gt;D7, $P7&lt;&gt;"")</formula>
    </cfRule>
  </conditionalFormatting>
  <conditionalFormatting sqref="D26:N26">
    <cfRule type="expression" dxfId="96" priority="1">
      <formula>AND(--LEFT(D26,FIND("-",D26)-1) = MAX(--LEFT($D$26:$N$26,FIND("-",$D$26:$N$26)-1)), COUNTIF($D$26:$N$26, MAX(--LEFT($D$26:$N$26,FIND("-",$D$26:$N$26)-1)) &amp; "-*") &gt; 1)</formula>
    </cfRule>
    <cfRule type="expression" dxfId="95" priority="2">
      <formula>AND(--LEFT(D26,FIND("-",D26)-1) = MAX(--LEFT($D$26:$N$26,FIND("-",$D$26:$N$26)-1)), COUNTIF($D$26:$N$26, MAX(--LEFT($D$26:$N$26,FIND("-",$D$26:$N$26)-1)) &amp; "-*") = 1)</formula>
    </cfRule>
  </conditionalFormatting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5" name="Button 1">
              <controlPr defaultSize="0" print="0" autoFill="0" autoPict="0" macro="[0]!UpdateCurrentSheet">
                <anchor moveWithCells="1" sizeWithCells="1">
                  <from>
                    <xdr:col>19</xdr:col>
                    <xdr:colOff>330200</xdr:colOff>
                    <xdr:row>2</xdr:row>
                    <xdr:rowOff>12700</xdr:rowOff>
                  </from>
                  <to>
                    <xdr:col>20</xdr:col>
                    <xdr:colOff>304800</xdr:colOff>
                    <xdr:row>2</xdr:row>
                    <xdr:rowOff>330200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89373-395E-4412-B010-85813587E1EF}">
  <sheetPr codeName="Sheet1"/>
  <dimension ref="A2:S36"/>
  <sheetViews>
    <sheetView zoomScaleNormal="100" workbookViewId="0">
      <selection activeCell="S28" sqref="S28"/>
    </sheetView>
  </sheetViews>
  <sheetFormatPr baseColWidth="10" defaultColWidth="8.83203125" defaultRowHeight="15"/>
  <cols>
    <col min="2" max="2" width="1.6640625" customWidth="1"/>
    <col min="3" max="3" width="11.6640625" style="1" bestFit="1" customWidth="1"/>
    <col min="4" max="14" width="13.1640625" customWidth="1"/>
    <col min="15" max="15" width="1.6640625" customWidth="1"/>
    <col min="16" max="16" width="15.5" bestFit="1" customWidth="1"/>
    <col min="17" max="17" width="1.6640625" customWidth="1"/>
    <col min="18" max="18" width="18.33203125" customWidth="1"/>
    <col min="19" max="19" width="1.6640625" customWidth="1"/>
  </cols>
  <sheetData>
    <row r="2" spans="1:19" ht="15" customHeight="1" thickBot="1">
      <c r="B2" s="31"/>
      <c r="C2" s="30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</row>
    <row r="3" spans="1:19" ht="32" thickBot="1">
      <c r="B3" s="27"/>
      <c r="C3" s="186" t="s">
        <v>29</v>
      </c>
      <c r="D3" s="186"/>
      <c r="E3" s="186"/>
      <c r="F3" s="186"/>
      <c r="G3" s="186"/>
      <c r="H3" s="186"/>
      <c r="I3" s="186"/>
      <c r="J3" s="186"/>
      <c r="K3" s="186"/>
      <c r="L3" s="186"/>
      <c r="M3" s="186"/>
      <c r="N3" s="186"/>
      <c r="O3" s="186"/>
      <c r="P3" s="186"/>
      <c r="Q3" s="28"/>
    </row>
    <row r="4" spans="1:19" ht="15" customHeight="1" thickBot="1">
      <c r="A4" s="20"/>
      <c r="B4" s="19"/>
      <c r="C4" s="14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6"/>
      <c r="P4" s="6"/>
      <c r="Q4" s="16"/>
      <c r="R4" s="2"/>
    </row>
    <row r="5" spans="1:19" ht="23.25" customHeight="1" thickTop="1">
      <c r="A5" s="20"/>
      <c r="B5" s="6"/>
      <c r="C5" s="187" t="s">
        <v>18</v>
      </c>
      <c r="D5" s="189" t="s">
        <v>14</v>
      </c>
      <c r="E5" s="191" t="s">
        <v>2</v>
      </c>
      <c r="F5" s="193" t="s">
        <v>3</v>
      </c>
      <c r="G5" s="193" t="s">
        <v>4</v>
      </c>
      <c r="H5" s="193" t="s">
        <v>5</v>
      </c>
      <c r="I5" s="189" t="s">
        <v>6</v>
      </c>
      <c r="J5" s="189" t="s">
        <v>7</v>
      </c>
      <c r="K5" s="189" t="s">
        <v>8</v>
      </c>
      <c r="L5" s="191" t="s">
        <v>9</v>
      </c>
      <c r="M5" s="193" t="s">
        <v>10</v>
      </c>
      <c r="N5" s="189" t="s">
        <v>11</v>
      </c>
      <c r="O5" s="6"/>
      <c r="P5" s="195" t="s">
        <v>12</v>
      </c>
      <c r="Q5" s="6"/>
      <c r="R5" s="204" t="s">
        <v>389</v>
      </c>
    </row>
    <row r="6" spans="1:19" ht="8" customHeight="1" thickBot="1">
      <c r="A6" s="20"/>
      <c r="B6" s="6"/>
      <c r="C6" s="188"/>
      <c r="D6" s="190"/>
      <c r="E6" s="192"/>
      <c r="F6" s="194"/>
      <c r="G6" s="194"/>
      <c r="H6" s="194"/>
      <c r="I6" s="190"/>
      <c r="J6" s="190"/>
      <c r="K6" s="190"/>
      <c r="L6" s="192"/>
      <c r="M6" s="194"/>
      <c r="N6" s="190"/>
      <c r="O6" s="6"/>
      <c r="P6" s="196"/>
      <c r="Q6" s="6"/>
      <c r="R6" s="205"/>
    </row>
    <row r="7" spans="1:19" ht="16" thickTop="1">
      <c r="A7" s="20"/>
      <c r="B7" s="21"/>
      <c r="C7" s="77" t="s">
        <v>141</v>
      </c>
      <c r="D7" s="51" t="s">
        <v>314</v>
      </c>
      <c r="E7" s="52" t="s">
        <v>314</v>
      </c>
      <c r="F7" s="53" t="s">
        <v>314</v>
      </c>
      <c r="G7" s="53" t="s">
        <v>314</v>
      </c>
      <c r="H7" s="51" t="s">
        <v>314</v>
      </c>
      <c r="I7" s="53" t="s">
        <v>314</v>
      </c>
      <c r="J7" s="53" t="s">
        <v>314</v>
      </c>
      <c r="K7" s="53" t="s">
        <v>314</v>
      </c>
      <c r="L7" s="53" t="s">
        <v>314</v>
      </c>
      <c r="M7" s="53" t="s">
        <v>314</v>
      </c>
      <c r="N7" s="54" t="s">
        <v>314</v>
      </c>
      <c r="O7" s="55"/>
      <c r="P7" s="56" t="s">
        <v>314</v>
      </c>
      <c r="Q7" s="6"/>
      <c r="R7" s="117" t="s">
        <v>372</v>
      </c>
      <c r="S7" s="113"/>
    </row>
    <row r="8" spans="1:19">
      <c r="A8" s="20"/>
      <c r="B8" s="21"/>
      <c r="C8" s="78" t="s">
        <v>160</v>
      </c>
      <c r="D8" s="57" t="s">
        <v>333</v>
      </c>
      <c r="E8" s="58" t="s">
        <v>333</v>
      </c>
      <c r="F8" s="59" t="s">
        <v>333</v>
      </c>
      <c r="G8" s="59" t="s">
        <v>333</v>
      </c>
      <c r="H8" s="60" t="s">
        <v>333</v>
      </c>
      <c r="I8" s="59" t="s">
        <v>333</v>
      </c>
      <c r="J8" s="59" t="s">
        <v>333</v>
      </c>
      <c r="K8" s="59" t="s">
        <v>333</v>
      </c>
      <c r="L8" s="59" t="s">
        <v>333</v>
      </c>
      <c r="M8" s="59" t="s">
        <v>333</v>
      </c>
      <c r="N8" s="61" t="s">
        <v>333</v>
      </c>
      <c r="O8" s="55"/>
      <c r="P8" s="62" t="s">
        <v>325</v>
      </c>
      <c r="Q8" s="6"/>
      <c r="R8" s="117" t="s">
        <v>373</v>
      </c>
      <c r="S8" s="113"/>
    </row>
    <row r="9" spans="1:19">
      <c r="A9" s="20"/>
      <c r="B9" s="21"/>
      <c r="C9" s="79" t="s">
        <v>32</v>
      </c>
      <c r="D9" s="69" t="s">
        <v>308</v>
      </c>
      <c r="E9" s="70" t="s">
        <v>308</v>
      </c>
      <c r="F9" s="65" t="s">
        <v>308</v>
      </c>
      <c r="G9" s="65" t="s">
        <v>337</v>
      </c>
      <c r="H9" s="66" t="s">
        <v>308</v>
      </c>
      <c r="I9" s="65" t="s">
        <v>308</v>
      </c>
      <c r="J9" s="65" t="s">
        <v>308</v>
      </c>
      <c r="K9" s="65" t="s">
        <v>308</v>
      </c>
      <c r="L9" s="65" t="s">
        <v>308</v>
      </c>
      <c r="M9" s="65" t="s">
        <v>308</v>
      </c>
      <c r="N9" s="61" t="s">
        <v>308</v>
      </c>
      <c r="O9" s="55"/>
      <c r="P9" s="62" t="s">
        <v>308</v>
      </c>
      <c r="Q9" s="6"/>
      <c r="R9" s="117" t="s">
        <v>374</v>
      </c>
      <c r="S9" s="113"/>
    </row>
    <row r="10" spans="1:19">
      <c r="A10" s="20"/>
      <c r="B10" s="21"/>
      <c r="C10" s="79" t="s">
        <v>161</v>
      </c>
      <c r="D10" s="63" t="s">
        <v>332</v>
      </c>
      <c r="E10" s="64" t="s">
        <v>318</v>
      </c>
      <c r="F10" s="65" t="s">
        <v>332</v>
      </c>
      <c r="G10" s="65" t="s">
        <v>318</v>
      </c>
      <c r="H10" s="66" t="s">
        <v>332</v>
      </c>
      <c r="I10" s="65" t="s">
        <v>332</v>
      </c>
      <c r="J10" s="65" t="s">
        <v>332</v>
      </c>
      <c r="K10" s="65" t="s">
        <v>318</v>
      </c>
      <c r="L10" s="65" t="s">
        <v>332</v>
      </c>
      <c r="M10" s="65" t="s">
        <v>318</v>
      </c>
      <c r="N10" s="61" t="s">
        <v>332</v>
      </c>
      <c r="O10" s="55"/>
      <c r="P10" s="62" t="s">
        <v>332</v>
      </c>
      <c r="Q10" s="6"/>
      <c r="R10" s="117" t="s">
        <v>375</v>
      </c>
      <c r="S10" s="113"/>
    </row>
    <row r="11" spans="1:19">
      <c r="A11" s="20"/>
      <c r="B11" s="21"/>
      <c r="C11" s="79" t="s">
        <v>162</v>
      </c>
      <c r="D11" s="63" t="s">
        <v>327</v>
      </c>
      <c r="E11" s="64" t="s">
        <v>309</v>
      </c>
      <c r="F11" s="65" t="s">
        <v>309</v>
      </c>
      <c r="G11" s="65" t="s">
        <v>309</v>
      </c>
      <c r="H11" s="66" t="s">
        <v>309</v>
      </c>
      <c r="I11" s="65" t="s">
        <v>309</v>
      </c>
      <c r="J11" s="65" t="s">
        <v>309</v>
      </c>
      <c r="K11" s="65" t="s">
        <v>327</v>
      </c>
      <c r="L11" s="65" t="s">
        <v>327</v>
      </c>
      <c r="M11" s="65" t="s">
        <v>327</v>
      </c>
      <c r="N11" s="61" t="s">
        <v>327</v>
      </c>
      <c r="O11" s="55"/>
      <c r="P11" s="62" t="s">
        <v>327</v>
      </c>
      <c r="Q11" s="6"/>
      <c r="R11" s="117" t="s">
        <v>376</v>
      </c>
      <c r="S11" s="113"/>
    </row>
    <row r="12" spans="1:19">
      <c r="A12" s="20"/>
      <c r="B12" s="21"/>
      <c r="C12" s="77" t="s">
        <v>90</v>
      </c>
      <c r="D12" s="67" t="s">
        <v>307</v>
      </c>
      <c r="E12" s="68" t="s">
        <v>307</v>
      </c>
      <c r="F12" s="53" t="s">
        <v>307</v>
      </c>
      <c r="G12" s="53" t="s">
        <v>307</v>
      </c>
      <c r="H12" s="52" t="s">
        <v>307</v>
      </c>
      <c r="I12" s="65" t="s">
        <v>307</v>
      </c>
      <c r="J12" s="53" t="s">
        <v>307</v>
      </c>
      <c r="K12" s="53" t="s">
        <v>307</v>
      </c>
      <c r="L12" s="53" t="s">
        <v>307</v>
      </c>
      <c r="M12" s="65" t="s">
        <v>307</v>
      </c>
      <c r="N12" s="109" t="s">
        <v>307</v>
      </c>
      <c r="O12" s="55"/>
      <c r="P12" s="62" t="s">
        <v>307</v>
      </c>
      <c r="Q12" s="6"/>
      <c r="R12" s="117" t="s">
        <v>377</v>
      </c>
      <c r="S12" s="113"/>
    </row>
    <row r="13" spans="1:19">
      <c r="A13" s="20"/>
      <c r="B13" s="21"/>
      <c r="C13" s="79" t="s">
        <v>163</v>
      </c>
      <c r="D13" s="69" t="s">
        <v>317</v>
      </c>
      <c r="E13" s="70" t="s">
        <v>317</v>
      </c>
      <c r="F13" s="65" t="s">
        <v>317</v>
      </c>
      <c r="G13" s="65" t="s">
        <v>317</v>
      </c>
      <c r="H13" s="66" t="s">
        <v>317</v>
      </c>
      <c r="I13" s="65" t="s">
        <v>317</v>
      </c>
      <c r="J13" s="65" t="s">
        <v>317</v>
      </c>
      <c r="K13" s="65" t="s">
        <v>317</v>
      </c>
      <c r="L13" s="65" t="s">
        <v>317</v>
      </c>
      <c r="M13" s="65" t="s">
        <v>317</v>
      </c>
      <c r="N13" s="61" t="s">
        <v>317</v>
      </c>
      <c r="O13" s="55"/>
      <c r="P13" s="62" t="s">
        <v>317</v>
      </c>
      <c r="Q13" s="6"/>
      <c r="R13" s="117" t="s">
        <v>378</v>
      </c>
      <c r="S13" s="113"/>
    </row>
    <row r="14" spans="1:19">
      <c r="A14" s="20"/>
      <c r="B14" s="21"/>
      <c r="C14" s="79" t="s">
        <v>164</v>
      </c>
      <c r="D14" s="69" t="s">
        <v>311</v>
      </c>
      <c r="E14" s="70" t="s">
        <v>311</v>
      </c>
      <c r="F14" s="65" t="s">
        <v>311</v>
      </c>
      <c r="G14" s="65" t="s">
        <v>334</v>
      </c>
      <c r="H14" s="66" t="s">
        <v>311</v>
      </c>
      <c r="I14" s="65" t="s">
        <v>334</v>
      </c>
      <c r="J14" s="65" t="s">
        <v>311</v>
      </c>
      <c r="K14" s="65" t="s">
        <v>311</v>
      </c>
      <c r="L14" s="65" t="s">
        <v>311</v>
      </c>
      <c r="M14" s="65" t="s">
        <v>311</v>
      </c>
      <c r="N14" s="61" t="s">
        <v>311</v>
      </c>
      <c r="O14" s="55"/>
      <c r="P14" s="62" t="s">
        <v>311</v>
      </c>
      <c r="Q14" s="6"/>
      <c r="R14" s="117" t="s">
        <v>379</v>
      </c>
      <c r="S14" s="113"/>
    </row>
    <row r="15" spans="1:19">
      <c r="A15" s="20"/>
      <c r="B15" s="21"/>
      <c r="C15" s="79" t="s">
        <v>35</v>
      </c>
      <c r="D15" s="69" t="s">
        <v>324</v>
      </c>
      <c r="E15" s="70" t="s">
        <v>324</v>
      </c>
      <c r="F15" s="65" t="s">
        <v>324</v>
      </c>
      <c r="G15" s="65" t="s">
        <v>324</v>
      </c>
      <c r="H15" s="66" t="s">
        <v>324</v>
      </c>
      <c r="I15" s="65" t="s">
        <v>324</v>
      </c>
      <c r="J15" s="65" t="s">
        <v>324</v>
      </c>
      <c r="K15" s="65" t="s">
        <v>324</v>
      </c>
      <c r="L15" s="65" t="s">
        <v>324</v>
      </c>
      <c r="M15" s="65" t="s">
        <v>324</v>
      </c>
      <c r="N15" s="61" t="s">
        <v>324</v>
      </c>
      <c r="O15" s="55"/>
      <c r="P15" s="62" t="s">
        <v>338</v>
      </c>
      <c r="Q15" s="6"/>
      <c r="R15" s="117" t="s">
        <v>380</v>
      </c>
      <c r="S15" s="113"/>
    </row>
    <row r="16" spans="1:19">
      <c r="A16" s="20"/>
      <c r="B16" s="21"/>
      <c r="C16" s="79" t="s">
        <v>50</v>
      </c>
      <c r="D16" s="69" t="s">
        <v>322</v>
      </c>
      <c r="E16" s="70" t="s">
        <v>312</v>
      </c>
      <c r="F16" s="65" t="s">
        <v>312</v>
      </c>
      <c r="G16" s="65" t="s">
        <v>322</v>
      </c>
      <c r="H16" s="66" t="s">
        <v>322</v>
      </c>
      <c r="I16" s="65" t="s">
        <v>312</v>
      </c>
      <c r="J16" s="65" t="s">
        <v>322</v>
      </c>
      <c r="K16" s="65" t="s">
        <v>312</v>
      </c>
      <c r="L16" s="65" t="s">
        <v>322</v>
      </c>
      <c r="M16" s="65" t="s">
        <v>322</v>
      </c>
      <c r="N16" s="61" t="s">
        <v>322</v>
      </c>
      <c r="O16" s="55"/>
      <c r="P16" s="62" t="s">
        <v>312</v>
      </c>
      <c r="Q16" s="6"/>
      <c r="R16" s="117" t="s">
        <v>381</v>
      </c>
      <c r="S16" s="113"/>
    </row>
    <row r="17" spans="1:19">
      <c r="A17" s="20"/>
      <c r="B17" s="21"/>
      <c r="C17" s="79" t="s">
        <v>63</v>
      </c>
      <c r="D17" s="69" t="s">
        <v>323</v>
      </c>
      <c r="E17" s="70" t="s">
        <v>323</v>
      </c>
      <c r="F17" s="65" t="s">
        <v>323</v>
      </c>
      <c r="G17" s="65" t="s">
        <v>323</v>
      </c>
      <c r="H17" s="66" t="s">
        <v>313</v>
      </c>
      <c r="I17" s="65" t="s">
        <v>323</v>
      </c>
      <c r="J17" s="65" t="s">
        <v>323</v>
      </c>
      <c r="K17" s="65" t="s">
        <v>323</v>
      </c>
      <c r="L17" s="65" t="s">
        <v>323</v>
      </c>
      <c r="M17" s="65" t="s">
        <v>323</v>
      </c>
      <c r="N17" s="61" t="s">
        <v>323</v>
      </c>
      <c r="O17" s="55"/>
      <c r="P17" s="62" t="s">
        <v>323</v>
      </c>
      <c r="Q17" s="6"/>
      <c r="R17" s="117" t="s">
        <v>382</v>
      </c>
      <c r="S17" s="113"/>
    </row>
    <row r="18" spans="1:19">
      <c r="A18" s="20"/>
      <c r="B18" s="21"/>
      <c r="C18" s="79" t="s">
        <v>165</v>
      </c>
      <c r="D18" s="69" t="s">
        <v>328</v>
      </c>
      <c r="E18" s="70" t="s">
        <v>328</v>
      </c>
      <c r="F18" s="65" t="s">
        <v>328</v>
      </c>
      <c r="G18" s="65" t="s">
        <v>326</v>
      </c>
      <c r="H18" s="66" t="s">
        <v>328</v>
      </c>
      <c r="I18" s="65" t="s">
        <v>328</v>
      </c>
      <c r="J18" s="65" t="s">
        <v>328</v>
      </c>
      <c r="K18" s="65" t="s">
        <v>328</v>
      </c>
      <c r="L18" s="65" t="s">
        <v>328</v>
      </c>
      <c r="M18" s="65" t="s">
        <v>328</v>
      </c>
      <c r="N18" s="61" t="s">
        <v>328</v>
      </c>
      <c r="O18" s="55"/>
      <c r="P18" s="62" t="s">
        <v>328</v>
      </c>
      <c r="Q18" s="6"/>
      <c r="R18" s="117" t="s">
        <v>383</v>
      </c>
      <c r="S18" s="113"/>
    </row>
    <row r="19" spans="1:19">
      <c r="A19" s="20"/>
      <c r="B19" s="21"/>
      <c r="C19" s="79" t="s">
        <v>166</v>
      </c>
      <c r="D19" s="69" t="s">
        <v>336</v>
      </c>
      <c r="E19" s="70" t="s">
        <v>336</v>
      </c>
      <c r="F19" s="65" t="s">
        <v>336</v>
      </c>
      <c r="G19" s="65" t="s">
        <v>315</v>
      </c>
      <c r="H19" s="66" t="s">
        <v>336</v>
      </c>
      <c r="I19" s="65" t="s">
        <v>315</v>
      </c>
      <c r="J19" s="65" t="s">
        <v>336</v>
      </c>
      <c r="K19" s="65" t="s">
        <v>336</v>
      </c>
      <c r="L19" s="65" t="s">
        <v>336</v>
      </c>
      <c r="M19" s="65" t="s">
        <v>336</v>
      </c>
      <c r="N19" s="110" t="s">
        <v>315</v>
      </c>
      <c r="O19" s="55"/>
      <c r="P19" s="62" t="s">
        <v>315</v>
      </c>
      <c r="Q19" s="6"/>
      <c r="R19" s="117" t="s">
        <v>384</v>
      </c>
      <c r="S19" s="113"/>
    </row>
    <row r="20" spans="1:19">
      <c r="A20" s="20"/>
      <c r="B20" s="21"/>
      <c r="C20" s="79" t="s">
        <v>28</v>
      </c>
      <c r="D20" s="69" t="s">
        <v>320</v>
      </c>
      <c r="E20" s="70" t="s">
        <v>320</v>
      </c>
      <c r="F20" s="65" t="s">
        <v>320</v>
      </c>
      <c r="G20" s="65" t="s">
        <v>320</v>
      </c>
      <c r="H20" s="65" t="s">
        <v>320</v>
      </c>
      <c r="I20" s="65" t="s">
        <v>320</v>
      </c>
      <c r="J20" s="65" t="s">
        <v>319</v>
      </c>
      <c r="K20" s="65" t="s">
        <v>320</v>
      </c>
      <c r="L20" s="65" t="s">
        <v>320</v>
      </c>
      <c r="M20" s="70" t="s">
        <v>320</v>
      </c>
      <c r="N20" s="61" t="s">
        <v>319</v>
      </c>
      <c r="O20" s="112"/>
      <c r="P20" s="62" t="s">
        <v>320</v>
      </c>
      <c r="Q20" s="6"/>
      <c r="R20" s="117" t="s">
        <v>385</v>
      </c>
      <c r="S20" s="113"/>
    </row>
    <row r="21" spans="1:19">
      <c r="A21" s="20"/>
      <c r="B21" s="21"/>
      <c r="C21" s="79" t="s">
        <v>167</v>
      </c>
      <c r="D21" s="69" t="s">
        <v>316</v>
      </c>
      <c r="E21" s="70" t="s">
        <v>316</v>
      </c>
      <c r="F21" s="65" t="s">
        <v>316</v>
      </c>
      <c r="G21" s="65" t="s">
        <v>316</v>
      </c>
      <c r="H21" s="66" t="s">
        <v>316</v>
      </c>
      <c r="I21" s="65" t="s">
        <v>316</v>
      </c>
      <c r="J21" s="65" t="s">
        <v>316</v>
      </c>
      <c r="K21" s="65" t="s">
        <v>316</v>
      </c>
      <c r="L21" s="65" t="s">
        <v>316</v>
      </c>
      <c r="M21" s="65" t="s">
        <v>316</v>
      </c>
      <c r="N21" s="111" t="s">
        <v>316</v>
      </c>
      <c r="O21" s="55"/>
      <c r="P21" s="62" t="s">
        <v>316</v>
      </c>
      <c r="Q21" s="6"/>
      <c r="R21" s="117" t="s">
        <v>386</v>
      </c>
      <c r="S21" s="113"/>
    </row>
    <row r="22" spans="1:19" ht="16" thickBot="1">
      <c r="A22" s="20"/>
      <c r="B22" s="21"/>
      <c r="C22" s="80" t="s">
        <v>168</v>
      </c>
      <c r="D22" s="71" t="s">
        <v>331</v>
      </c>
      <c r="E22" s="72" t="s">
        <v>331</v>
      </c>
      <c r="F22" s="73" t="s">
        <v>331</v>
      </c>
      <c r="G22" s="73" t="s">
        <v>331</v>
      </c>
      <c r="H22" s="71" t="s">
        <v>331</v>
      </c>
      <c r="I22" s="73" t="s">
        <v>331</v>
      </c>
      <c r="J22" s="73" t="s">
        <v>331</v>
      </c>
      <c r="K22" s="73" t="s">
        <v>331</v>
      </c>
      <c r="L22" s="73" t="s">
        <v>331</v>
      </c>
      <c r="M22" s="73" t="s">
        <v>331</v>
      </c>
      <c r="N22" s="74" t="s">
        <v>331</v>
      </c>
      <c r="O22" s="55"/>
      <c r="P22" s="75" t="s">
        <v>321</v>
      </c>
      <c r="Q22" s="6"/>
      <c r="R22" s="118" t="s">
        <v>387</v>
      </c>
      <c r="S22" s="113"/>
    </row>
    <row r="23" spans="1:19" ht="16" thickTop="1">
      <c r="A23" s="20"/>
      <c r="B23" s="6"/>
      <c r="C23" s="108"/>
      <c r="D23" s="3"/>
      <c r="E23" s="4"/>
      <c r="F23" s="3"/>
      <c r="G23" s="3"/>
      <c r="H23" s="5"/>
      <c r="I23" s="3"/>
      <c r="J23" s="3"/>
      <c r="K23" s="3"/>
      <c r="L23" s="3"/>
      <c r="M23" s="3"/>
      <c r="N23" s="3"/>
      <c r="O23" s="6"/>
      <c r="P23" s="8" t="s">
        <v>16</v>
      </c>
      <c r="Q23" s="17"/>
      <c r="R23" s="2"/>
    </row>
    <row r="24" spans="1:19">
      <c r="A24" s="20"/>
      <c r="B24" s="6"/>
      <c r="C24" s="9" t="s">
        <v>15</v>
      </c>
      <c r="D24" s="53">
        <v>52</v>
      </c>
      <c r="E24" s="52">
        <v>52</v>
      </c>
      <c r="F24" s="53">
        <v>32</v>
      </c>
      <c r="G24" s="53">
        <v>49</v>
      </c>
      <c r="H24" s="51">
        <v>42</v>
      </c>
      <c r="I24" s="53">
        <v>47</v>
      </c>
      <c r="J24" s="53">
        <v>42</v>
      </c>
      <c r="K24" s="53">
        <v>42</v>
      </c>
      <c r="L24" s="53">
        <v>39</v>
      </c>
      <c r="M24" s="53">
        <v>66</v>
      </c>
      <c r="N24" s="53">
        <v>45</v>
      </c>
      <c r="O24" s="12"/>
      <c r="P24" s="76">
        <v>68</v>
      </c>
      <c r="Q24" s="17"/>
      <c r="R24" s="2"/>
    </row>
    <row r="25" spans="1:19">
      <c r="A25" s="20"/>
      <c r="B25" s="6"/>
      <c r="C25" s="7"/>
      <c r="D25" s="3"/>
      <c r="E25" s="4"/>
      <c r="F25" s="3"/>
      <c r="G25" s="3"/>
      <c r="H25" s="5"/>
      <c r="I25" s="3"/>
      <c r="J25" s="3"/>
      <c r="K25" s="3"/>
      <c r="L25" s="3"/>
      <c r="M25" s="3"/>
      <c r="N25" s="3"/>
      <c r="O25" s="6"/>
      <c r="P25" s="6"/>
      <c r="Q25" s="17"/>
      <c r="R25" s="2"/>
    </row>
    <row r="26" spans="1:19">
      <c r="A26" s="20"/>
      <c r="B26" s="6"/>
      <c r="C26" s="10" t="s">
        <v>13</v>
      </c>
      <c r="D26" s="48" t="str" cm="1">
        <f t="array" ref="D26">SUMPRODUCT(--(D7:D22=$P$7:$P$22), --($P$7:$P$22&lt;&gt;"")) &amp; "-" &amp; SUMPRODUCT(--(D7:D22&lt;&gt;$P$7:$P$22), --($P$7:$P$22&lt;&gt;""))</f>
        <v>11-5</v>
      </c>
      <c r="E26" s="49" t="str" cm="1">
        <f t="array" ref="E26">SUMPRODUCT(--(E7:E22=$P$7:$P$22), --($P$7:$P$22&lt;&gt;"")) &amp; "-" &amp; SUMPRODUCT(--(E7:E22&lt;&gt;$P$7:$P$22), --($P$7:$P$22&lt;&gt;""))</f>
        <v>10-6</v>
      </c>
      <c r="F26" s="48" t="str" cm="1">
        <f t="array" ref="F26">SUMPRODUCT(--(F7:F22=$P$7:$P$22), --($P$7:$P$22&lt;&gt;"")) &amp; "-" &amp; SUMPRODUCT(--(F7:F22&lt;&gt;$P$7:$P$22), --($P$7:$P$22&lt;&gt;""))</f>
        <v>11-5</v>
      </c>
      <c r="G26" s="48" t="str" cm="1">
        <f t="array" ref="G26">SUMPRODUCT(--(G7:G22=$P$7:$P$22), --($P$7:$P$22&lt;&gt;"")) &amp; "-" &amp; SUMPRODUCT(--(G7:G22&lt;&gt;$P$7:$P$22), --($P$7:$P$22&lt;&gt;""))</f>
        <v>7-9</v>
      </c>
      <c r="H26" s="50" t="str" cm="1">
        <f t="array" ref="H26">SUMPRODUCT(--(H7:H22=$P$7:$P$22), --($P$7:$P$22&lt;&gt;"")) &amp; "-" &amp; SUMPRODUCT(--(H7:H22&lt;&gt;$P$7:$P$22), --($P$7:$P$22&lt;&gt;""))</f>
        <v>9-7</v>
      </c>
      <c r="I26" s="48" t="str" cm="1">
        <f t="array" ref="I26">SUMPRODUCT(--(I7:I22=$P$7:$P$22), --($P$7:$P$22&lt;&gt;"")) &amp; "-" &amp; SUMPRODUCT(--(I7:I22&lt;&gt;$P$7:$P$22), --($P$7:$P$22&lt;&gt;""))</f>
        <v>11-5</v>
      </c>
      <c r="J26" s="48" t="str" cm="1">
        <f t="array" ref="J26">SUMPRODUCT(--(J7:J22=$P$7:$P$22), --($P$7:$P$22&lt;&gt;"")) &amp; "-" &amp; SUMPRODUCT(--(J7:J22&lt;&gt;$P$7:$P$22), --($P$7:$P$22&lt;&gt;""))</f>
        <v>9-7</v>
      </c>
      <c r="K26" s="48" t="str" cm="1">
        <f t="array" ref="K26">SUMPRODUCT(--(K7:K22=$P$7:$P$22), --($P$7:$P$22&lt;&gt;"")) &amp; "-" &amp; SUMPRODUCT(--(K7:K22&lt;&gt;$P$7:$P$22), --($P$7:$P$22&lt;&gt;""))</f>
        <v>11-5</v>
      </c>
      <c r="L26" s="48" t="str" cm="1">
        <f t="array" ref="L26">SUMPRODUCT(--(L7:L22=$P$7:$P$22), --($P$7:$P$22&lt;&gt;"")) &amp; "-" &amp; SUMPRODUCT(--(L7:L22&lt;&gt;$P$7:$P$22), --($P$7:$P$22&lt;&gt;""))</f>
        <v>11-5</v>
      </c>
      <c r="M26" s="48" t="str" cm="1">
        <f t="array" ref="M26">SUMPRODUCT(--(M7:M22=$P$7:$P$22), --($P$7:$P$22&lt;&gt;"")) &amp; "-" &amp; SUMPRODUCT(--(M7:M22&lt;&gt;$P$7:$P$22), --($P$7:$P$22&lt;&gt;""))</f>
        <v>10-6</v>
      </c>
      <c r="N26" s="48" t="str" cm="1">
        <f t="array" ref="N26">SUMPRODUCT(--(N7:N22=$P$7:$P$22), --($P$7:$P$22&lt;&gt;"")) &amp; "-" &amp; SUMPRODUCT(--(N7:N22&lt;&gt;$P$7:$P$22), --($P$7:$P$22&lt;&gt;""))</f>
        <v>11-5</v>
      </c>
      <c r="O26" s="6"/>
      <c r="P26" s="6"/>
      <c r="Q26" s="17"/>
      <c r="R26" s="2"/>
    </row>
    <row r="27" spans="1:19">
      <c r="A27" s="20"/>
      <c r="B27" s="6"/>
      <c r="C27" s="7"/>
      <c r="D27" s="11">
        <f>VALUE(LEFT(D26,FIND("-",D26)-1)) - VALUE(MID(D26,FIND("-",D26)+1,LEN(D26)-FIND("-",D26)))</f>
        <v>6</v>
      </c>
      <c r="E27" s="11">
        <f t="shared" ref="E27:N27" si="0">VALUE(LEFT(E26,FIND("-",E26)-1)) - VALUE(MID(E26,FIND("-",E26)+1,LEN(E26)-FIND("-",E26)))</f>
        <v>4</v>
      </c>
      <c r="F27" s="11">
        <f t="shared" si="0"/>
        <v>6</v>
      </c>
      <c r="G27" s="11">
        <f t="shared" si="0"/>
        <v>-2</v>
      </c>
      <c r="H27" s="11">
        <f t="shared" si="0"/>
        <v>2</v>
      </c>
      <c r="I27" s="11">
        <f t="shared" si="0"/>
        <v>6</v>
      </c>
      <c r="J27" s="11">
        <f t="shared" si="0"/>
        <v>2</v>
      </c>
      <c r="K27" s="11">
        <f t="shared" si="0"/>
        <v>6</v>
      </c>
      <c r="L27" s="11">
        <f t="shared" si="0"/>
        <v>6</v>
      </c>
      <c r="M27" s="11">
        <f t="shared" si="0"/>
        <v>4</v>
      </c>
      <c r="N27" s="11">
        <f t="shared" si="0"/>
        <v>6</v>
      </c>
      <c r="O27" s="6"/>
      <c r="P27" s="6"/>
      <c r="Q27" s="17"/>
      <c r="R27" s="2"/>
    </row>
    <row r="28" spans="1:19" ht="24">
      <c r="A28" s="20"/>
      <c r="B28" s="12"/>
      <c r="C28" s="199" t="s">
        <v>17</v>
      </c>
      <c r="D28" s="200"/>
      <c r="E28" s="206" t="str" cm="1">
        <f t="array" ref="E28">IF(P24="", "",
   _xlfn.LET(
      _xlpm.scores, D27:N27,
      _xlpm.names, D5:N5,
      _xlpm.tiebreaks, D24:N24,
      _xlpm.guesses, D26:N26,
      _xlpm.maxScore, MAX(_xlpm.scores),
      _xlpm.topScorers, IF(_xlpm.scores=_xlpm.maxScore, 1, 0),
      _xlpm.tiebreakDiffs, IF(_xlpm.topScorers, ABS(_xlpm.tiebreaks - P24), ""),
      _xlpm.minDiff, MIN(IF(_xlpm.tiebreakDiffs&lt;&gt;"", _xlpm.tiebreakDiffs)),
      _xlpm.winners, IF((_xlpm.scores=_xlpm.maxScore)*(ABS(_xlpm.tiebreaks - P24)=_xlpm.minDiff), _xlpm.names, ""),
      _xlpm.guessMatch, INDEX(_xlpm.guesses, MATCH(1, (_xlpm.scores=_xlpm.maxScore)*(ABS(_xlpm.tiebreaks - P24)=_xlpm.minDiff), 0)),
      _xlpm.winnerList, _xlfn.TEXTJOIN(", ", TRUE, _xlpm.winners),
      IF(COUNTA(_xlfn._xlws.FILTER(_xlpm.winners, _xlpm.winners&lt;&gt;""))=1,
         _xlpm.winnerList &amp; " (" &amp; _xlpm.guessMatch &amp; ")",
         _xlpm.winnerList
      )
   )
)</f>
        <v>CF&amp;SF (11-5)</v>
      </c>
      <c r="F28" s="207"/>
      <c r="G28" s="208"/>
      <c r="H28" s="12"/>
      <c r="I28" s="12"/>
      <c r="J28" s="12"/>
      <c r="K28" s="12"/>
      <c r="L28" s="12"/>
      <c r="M28" s="12"/>
      <c r="N28" s="12"/>
      <c r="O28" s="12"/>
      <c r="P28" s="12"/>
      <c r="Q28" s="18"/>
    </row>
    <row r="29" spans="1:19" ht="15" customHeight="1" thickBot="1">
      <c r="A29" s="20"/>
      <c r="B29" s="22"/>
      <c r="C29" s="23"/>
      <c r="D29" s="23"/>
      <c r="E29" s="24"/>
      <c r="F29" s="24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6"/>
    </row>
    <row r="30" spans="1:19" ht="16" thickTop="1">
      <c r="D30" s="1"/>
    </row>
    <row r="35" spans="9:9" ht="16" thickBot="1"/>
    <row r="36" spans="9:9" ht="16" thickTop="1">
      <c r="I36" s="13"/>
    </row>
  </sheetData>
  <sheetProtection selectLockedCells="1"/>
  <customSheetViews>
    <customSheetView guid="{096EED88-6BAE-D941-AE0E-0C5B75B09829}">
      <selection activeCell="S28" sqref="S28"/>
      <pageMargins left="0.7" right="0.7" top="0.75" bottom="0.75" header="0.3" footer="0.3"/>
      <pageSetup orientation="portrait" r:id="rId1"/>
    </customSheetView>
  </customSheetViews>
  <mergeCells count="17">
    <mergeCell ref="R5:R6"/>
    <mergeCell ref="C28:D28"/>
    <mergeCell ref="E28:G28"/>
    <mergeCell ref="P5:P6"/>
    <mergeCell ref="C3:P3"/>
    <mergeCell ref="J5:J6"/>
    <mergeCell ref="K5:K6"/>
    <mergeCell ref="L5:L6"/>
    <mergeCell ref="M5:M6"/>
    <mergeCell ref="N5:N6"/>
    <mergeCell ref="C5:C6"/>
    <mergeCell ref="D5:D6"/>
    <mergeCell ref="E5:E6"/>
    <mergeCell ref="F5:F6"/>
    <mergeCell ref="G5:G6"/>
    <mergeCell ref="H5:H6"/>
    <mergeCell ref="I5:I6"/>
  </mergeCells>
  <conditionalFormatting sqref="D26:N26">
    <cfRule type="expression" dxfId="94" priority="39">
      <formula>AND(--LEFT(D26,FIND("-",D26)-1) = MAX(--LEFT($D$26:$N$26,FIND("-",$D$26:$N$26)-1)), COUNTIF($D$26:$N$26, MAX(--LEFT($D$26:$N$26,FIND("-",$D$26:$N$26)-1)) &amp; "-*") &gt; 1)</formula>
    </cfRule>
    <cfRule type="expression" dxfId="93" priority="40">
      <formula>AND(--LEFT(D26,FIND("-",D26)-1) = MAX(--LEFT($D$26:$N$26,FIND("-",$D$26:$N$26)-1)), COUNTIF($D$26:$N$26, MAX(--LEFT($D$26:$N$26,FIND("-",$D$26:$N$26)-1)) &amp; "-*") = 1)</formula>
    </cfRule>
  </conditionalFormatting>
  <conditionalFormatting sqref="D12:N14">
    <cfRule type="expression" dxfId="92" priority="19">
      <formula>AND($P12=D12, $P12&lt;&gt;"")</formula>
    </cfRule>
    <cfRule type="expression" dxfId="91" priority="20">
      <formula>AND($P12&lt;&gt;D12, $P12&lt;&gt;"")</formula>
    </cfRule>
  </conditionalFormatting>
  <conditionalFormatting sqref="D15:N15">
    <cfRule type="expression" dxfId="90" priority="17">
      <formula>AND($P15=D15, $P15&lt;&gt;"")</formula>
    </cfRule>
    <cfRule type="expression" dxfId="89" priority="18">
      <formula>AND($P15&lt;&gt;D15, $P15&lt;&gt;"")</formula>
    </cfRule>
  </conditionalFormatting>
  <conditionalFormatting sqref="D16:N16">
    <cfRule type="expression" dxfId="88" priority="15">
      <formula>AND($P16=D16, $P16&lt;&gt;"")</formula>
    </cfRule>
    <cfRule type="expression" dxfId="87" priority="16">
      <formula>AND($P16&lt;&gt;D16, $P16&lt;&gt;"")</formula>
    </cfRule>
  </conditionalFormatting>
  <conditionalFormatting sqref="D17:N18">
    <cfRule type="expression" dxfId="86" priority="13">
      <formula>AND($P17=D17, $P17&lt;&gt;"")</formula>
    </cfRule>
    <cfRule type="expression" dxfId="85" priority="14">
      <formula>AND($P17&lt;&gt;D17, $P17&lt;&gt;"")</formula>
    </cfRule>
  </conditionalFormatting>
  <conditionalFormatting sqref="D19:N19">
    <cfRule type="expression" dxfId="84" priority="11">
      <formula>AND($P19=D19, $P19&lt;&gt;"")</formula>
    </cfRule>
    <cfRule type="expression" dxfId="83" priority="12">
      <formula>AND($P19&lt;&gt;D19, $P19&lt;&gt;"")</formula>
    </cfRule>
  </conditionalFormatting>
  <conditionalFormatting sqref="D21:N22 D20:M20">
    <cfRule type="expression" dxfId="82" priority="9">
      <formula>AND($P20=D20, $P20&lt;&gt;"")</formula>
    </cfRule>
    <cfRule type="expression" dxfId="81" priority="10">
      <formula>AND($P20&lt;&gt;D20, $P20&lt;&gt;"")</formula>
    </cfRule>
  </conditionalFormatting>
  <conditionalFormatting sqref="D7:N8">
    <cfRule type="expression" dxfId="80" priority="7">
      <formula>AND($P7=D7, $P7&lt;&gt;"")</formula>
    </cfRule>
    <cfRule type="expression" dxfId="79" priority="8">
      <formula>AND($P7&lt;&gt;D7, $P7&lt;&gt;"")</formula>
    </cfRule>
  </conditionalFormatting>
  <conditionalFormatting sqref="D9:N9">
    <cfRule type="expression" dxfId="78" priority="5">
      <formula>AND($P9=D9, $P9&lt;&gt;"")</formula>
    </cfRule>
    <cfRule type="expression" dxfId="77" priority="6">
      <formula>AND($P9&lt;&gt;D9, $P9&lt;&gt;"")</formula>
    </cfRule>
  </conditionalFormatting>
  <conditionalFormatting sqref="D10:N11">
    <cfRule type="expression" dxfId="76" priority="3">
      <formula>AND($P10=D10, $P10&lt;&gt;"")</formula>
    </cfRule>
    <cfRule type="expression" dxfId="75" priority="4">
      <formula>AND($P10&lt;&gt;D10, $P10&lt;&gt;"")</formula>
    </cfRule>
  </conditionalFormatting>
  <conditionalFormatting sqref="N20">
    <cfRule type="expression" dxfId="74" priority="1">
      <formula>AND($P20=N20, $P20&lt;&gt;"")</formula>
    </cfRule>
    <cfRule type="expression" dxfId="73" priority="2">
      <formula>AND($P20&lt;&gt;N20, $P20&lt;&gt;"")</formula>
    </cfRule>
  </conditionalFormatting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UpdateCurrentSheet">
                <anchor moveWithCells="1" sizeWithCells="1">
                  <from>
                    <xdr:col>19</xdr:col>
                    <xdr:colOff>330200</xdr:colOff>
                    <xdr:row>2</xdr:row>
                    <xdr:rowOff>12700</xdr:rowOff>
                  </from>
                  <to>
                    <xdr:col>20</xdr:col>
                    <xdr:colOff>304800</xdr:colOff>
                    <xdr:row>2</xdr:row>
                    <xdr:rowOff>330200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75FC7-AC92-489F-9242-F2A7AD2E6A95}">
  <sheetPr codeName="Sheet2"/>
  <dimension ref="A2:R36"/>
  <sheetViews>
    <sheetView showGridLines="0" showRowColHeaders="0" zoomScale="84" zoomScaleNormal="123" workbookViewId="0">
      <selection activeCell="G45" sqref="G45"/>
    </sheetView>
  </sheetViews>
  <sheetFormatPr baseColWidth="10" defaultColWidth="8.83203125" defaultRowHeight="15"/>
  <cols>
    <col min="2" max="2" width="1.6640625" customWidth="1"/>
    <col min="3" max="3" width="11.6640625" style="1" bestFit="1" customWidth="1"/>
    <col min="4" max="14" width="13.1640625" customWidth="1"/>
    <col min="15" max="15" width="1.6640625" customWidth="1"/>
    <col min="16" max="16" width="15.5" bestFit="1" customWidth="1"/>
    <col min="17" max="17" width="1.6640625" customWidth="1"/>
    <col min="18" max="18" width="26.1640625" customWidth="1"/>
    <col min="19" max="19" width="1.6640625" customWidth="1"/>
  </cols>
  <sheetData>
    <row r="2" spans="1:18" ht="15" customHeight="1" thickBot="1">
      <c r="B2" s="31"/>
      <c r="C2" s="30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</row>
    <row r="3" spans="1:18" ht="32" thickBot="1">
      <c r="B3" s="27"/>
      <c r="C3" s="186" t="s">
        <v>137</v>
      </c>
      <c r="D3" s="186"/>
      <c r="E3" s="186"/>
      <c r="F3" s="186"/>
      <c r="G3" s="186"/>
      <c r="H3" s="186"/>
      <c r="I3" s="186"/>
      <c r="J3" s="186"/>
      <c r="K3" s="186"/>
      <c r="L3" s="186"/>
      <c r="M3" s="186"/>
      <c r="N3" s="186"/>
      <c r="O3" s="186"/>
      <c r="P3" s="186"/>
      <c r="Q3" s="28"/>
    </row>
    <row r="4" spans="1:18" ht="15" customHeight="1" thickBot="1">
      <c r="A4" s="20"/>
      <c r="B4" s="19"/>
      <c r="C4" s="14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6"/>
      <c r="P4" s="6"/>
      <c r="Q4" s="16"/>
      <c r="R4" s="2"/>
    </row>
    <row r="5" spans="1:18" ht="23.25" customHeight="1" thickTop="1">
      <c r="A5" s="20"/>
      <c r="B5" s="6"/>
      <c r="C5" s="187" t="s">
        <v>18</v>
      </c>
      <c r="D5" s="189" t="s">
        <v>14</v>
      </c>
      <c r="E5" s="191" t="s">
        <v>2</v>
      </c>
      <c r="F5" s="193" t="s">
        <v>3</v>
      </c>
      <c r="G5" s="193" t="s">
        <v>4</v>
      </c>
      <c r="H5" s="193" t="s">
        <v>5</v>
      </c>
      <c r="I5" s="189" t="s">
        <v>6</v>
      </c>
      <c r="J5" s="189" t="s">
        <v>7</v>
      </c>
      <c r="K5" s="189" t="s">
        <v>8</v>
      </c>
      <c r="L5" s="191" t="s">
        <v>9</v>
      </c>
      <c r="M5" s="193" t="s">
        <v>10</v>
      </c>
      <c r="N5" s="189" t="s">
        <v>11</v>
      </c>
      <c r="O5" s="6"/>
      <c r="P5" s="195" t="s">
        <v>12</v>
      </c>
      <c r="Q5" s="6"/>
      <c r="R5" s="204" t="s">
        <v>389</v>
      </c>
    </row>
    <row r="6" spans="1:18" ht="8" customHeight="1" thickBot="1">
      <c r="A6" s="20"/>
      <c r="B6" s="6"/>
      <c r="C6" s="188"/>
      <c r="D6" s="190"/>
      <c r="E6" s="192"/>
      <c r="F6" s="194"/>
      <c r="G6" s="194"/>
      <c r="H6" s="194"/>
      <c r="I6" s="190"/>
      <c r="J6" s="190"/>
      <c r="K6" s="190"/>
      <c r="L6" s="192"/>
      <c r="M6" s="194"/>
      <c r="N6" s="190"/>
      <c r="O6" s="6"/>
      <c r="P6" s="196"/>
      <c r="Q6" s="6"/>
      <c r="R6" s="205"/>
    </row>
    <row r="7" spans="1:18" ht="16" thickTop="1">
      <c r="A7" s="20"/>
      <c r="B7" s="21"/>
      <c r="C7" s="81" t="s">
        <v>89</v>
      </c>
      <c r="D7" s="119" t="s">
        <v>328</v>
      </c>
      <c r="E7" s="120" t="s">
        <v>328</v>
      </c>
      <c r="F7" s="121" t="s">
        <v>328</v>
      </c>
      <c r="G7" s="121" t="s">
        <v>319</v>
      </c>
      <c r="H7" s="122" t="s">
        <v>328</v>
      </c>
      <c r="I7" s="121" t="s">
        <v>319</v>
      </c>
      <c r="J7" s="123" t="s">
        <v>319</v>
      </c>
      <c r="K7" s="123" t="s">
        <v>319</v>
      </c>
      <c r="L7" s="123" t="s">
        <v>328</v>
      </c>
      <c r="M7" s="123" t="s">
        <v>328</v>
      </c>
      <c r="N7" s="124" t="s">
        <v>319</v>
      </c>
      <c r="O7" s="36"/>
      <c r="P7" s="56" t="s">
        <v>328</v>
      </c>
      <c r="Q7" s="6"/>
      <c r="R7" s="117" t="s">
        <v>390</v>
      </c>
    </row>
    <row r="8" spans="1:18">
      <c r="A8" s="20"/>
      <c r="B8" s="21"/>
      <c r="C8" s="85" t="s">
        <v>169</v>
      </c>
      <c r="D8" s="125" t="s">
        <v>327</v>
      </c>
      <c r="E8" s="126" t="s">
        <v>332</v>
      </c>
      <c r="F8" s="127" t="s">
        <v>327</v>
      </c>
      <c r="G8" s="128" t="s">
        <v>332</v>
      </c>
      <c r="H8" s="129" t="s">
        <v>332</v>
      </c>
      <c r="I8" s="127" t="s">
        <v>327</v>
      </c>
      <c r="J8" s="128" t="s">
        <v>332</v>
      </c>
      <c r="K8" s="128" t="s">
        <v>327</v>
      </c>
      <c r="L8" s="128" t="s">
        <v>332</v>
      </c>
      <c r="M8" s="128" t="s">
        <v>332</v>
      </c>
      <c r="N8" s="130" t="s">
        <v>327</v>
      </c>
      <c r="O8" s="36"/>
      <c r="P8" s="62" t="s">
        <v>327</v>
      </c>
      <c r="Q8" s="6"/>
      <c r="R8" s="117" t="s">
        <v>391</v>
      </c>
    </row>
    <row r="9" spans="1:18">
      <c r="A9" s="20"/>
      <c r="B9" s="21"/>
      <c r="C9" s="89" t="s">
        <v>121</v>
      </c>
      <c r="D9" s="131" t="s">
        <v>324</v>
      </c>
      <c r="E9" s="132" t="s">
        <v>311</v>
      </c>
      <c r="F9" s="133" t="s">
        <v>311</v>
      </c>
      <c r="G9" s="134" t="s">
        <v>311</v>
      </c>
      <c r="H9" s="135" t="s">
        <v>324</v>
      </c>
      <c r="I9" s="133" t="s">
        <v>311</v>
      </c>
      <c r="J9" s="134" t="s">
        <v>311</v>
      </c>
      <c r="K9" s="134" t="s">
        <v>311</v>
      </c>
      <c r="L9" s="134" t="s">
        <v>311</v>
      </c>
      <c r="M9" s="134" t="s">
        <v>311</v>
      </c>
      <c r="N9" s="130" t="s">
        <v>311</v>
      </c>
      <c r="O9" s="36"/>
      <c r="P9" s="62" t="s">
        <v>324</v>
      </c>
      <c r="Q9" s="6"/>
      <c r="R9" s="117" t="s">
        <v>393</v>
      </c>
    </row>
    <row r="10" spans="1:18">
      <c r="A10" s="20"/>
      <c r="B10" s="21"/>
      <c r="C10" s="89" t="s">
        <v>170</v>
      </c>
      <c r="D10" s="131" t="s">
        <v>314</v>
      </c>
      <c r="E10" s="132" t="s">
        <v>314</v>
      </c>
      <c r="F10" s="133" t="s">
        <v>314</v>
      </c>
      <c r="G10" s="134" t="s">
        <v>314</v>
      </c>
      <c r="H10" s="135" t="s">
        <v>314</v>
      </c>
      <c r="I10" s="133" t="s">
        <v>314</v>
      </c>
      <c r="J10" s="134" t="s">
        <v>314</v>
      </c>
      <c r="K10" s="134" t="s">
        <v>314</v>
      </c>
      <c r="L10" s="134" t="s">
        <v>314</v>
      </c>
      <c r="M10" s="134" t="s">
        <v>314</v>
      </c>
      <c r="N10" s="130" t="s">
        <v>314</v>
      </c>
      <c r="O10" s="36"/>
      <c r="P10" s="62" t="s">
        <v>314</v>
      </c>
      <c r="Q10" s="6"/>
      <c r="R10" s="117" t="s">
        <v>394</v>
      </c>
    </row>
    <row r="11" spans="1:18">
      <c r="A11" s="20"/>
      <c r="B11" s="21"/>
      <c r="C11" s="89" t="s">
        <v>171</v>
      </c>
      <c r="D11" s="131" t="s">
        <v>321</v>
      </c>
      <c r="E11" s="132" t="s">
        <v>321</v>
      </c>
      <c r="F11" s="133" t="s">
        <v>321</v>
      </c>
      <c r="G11" s="134" t="s">
        <v>325</v>
      </c>
      <c r="H11" s="135" t="s">
        <v>321</v>
      </c>
      <c r="I11" s="133" t="s">
        <v>321</v>
      </c>
      <c r="J11" s="134" t="s">
        <v>321</v>
      </c>
      <c r="K11" s="134" t="s">
        <v>321</v>
      </c>
      <c r="L11" s="134" t="s">
        <v>321</v>
      </c>
      <c r="M11" s="134" t="s">
        <v>321</v>
      </c>
      <c r="N11" s="130" t="s">
        <v>321</v>
      </c>
      <c r="O11" s="36"/>
      <c r="P11" s="62" t="s">
        <v>321</v>
      </c>
      <c r="Q11" s="6"/>
      <c r="R11" s="117" t="s">
        <v>395</v>
      </c>
    </row>
    <row r="12" spans="1:18">
      <c r="A12" s="20"/>
      <c r="B12" s="21"/>
      <c r="C12" s="94" t="s">
        <v>172</v>
      </c>
      <c r="D12" s="136" t="s">
        <v>309</v>
      </c>
      <c r="E12" s="137" t="s">
        <v>309</v>
      </c>
      <c r="F12" s="121" t="s">
        <v>309</v>
      </c>
      <c r="G12" s="123" t="s">
        <v>309</v>
      </c>
      <c r="H12" s="122" t="s">
        <v>309</v>
      </c>
      <c r="I12" s="121" t="s">
        <v>309</v>
      </c>
      <c r="J12" s="123" t="s">
        <v>309</v>
      </c>
      <c r="K12" s="123" t="s">
        <v>309</v>
      </c>
      <c r="L12" s="123" t="s">
        <v>309</v>
      </c>
      <c r="M12" s="123" t="s">
        <v>309</v>
      </c>
      <c r="N12" s="124" t="s">
        <v>309</v>
      </c>
      <c r="O12" s="36"/>
      <c r="P12" s="62" t="s">
        <v>309</v>
      </c>
      <c r="Q12" s="6"/>
      <c r="R12" s="117" t="s">
        <v>396</v>
      </c>
    </row>
    <row r="13" spans="1:18">
      <c r="A13" s="20"/>
      <c r="B13" s="21"/>
      <c r="C13" s="89" t="s">
        <v>173</v>
      </c>
      <c r="D13" s="138" t="s">
        <v>323</v>
      </c>
      <c r="E13" s="138" t="s">
        <v>323</v>
      </c>
      <c r="F13" s="133" t="s">
        <v>323</v>
      </c>
      <c r="G13" s="139" t="s">
        <v>335</v>
      </c>
      <c r="H13" s="135" t="s">
        <v>323</v>
      </c>
      <c r="I13" s="138" t="s">
        <v>323</v>
      </c>
      <c r="J13" s="139" t="s">
        <v>323</v>
      </c>
      <c r="K13" s="134" t="s">
        <v>323</v>
      </c>
      <c r="L13" s="139" t="s">
        <v>323</v>
      </c>
      <c r="M13" s="139" t="s">
        <v>323</v>
      </c>
      <c r="N13" s="140" t="s">
        <v>323</v>
      </c>
      <c r="O13" s="36"/>
      <c r="P13" s="62" t="s">
        <v>335</v>
      </c>
      <c r="Q13" s="6"/>
      <c r="R13" s="117" t="s">
        <v>397</v>
      </c>
    </row>
    <row r="14" spans="1:18">
      <c r="A14" s="20"/>
      <c r="B14" s="21"/>
      <c r="C14" s="89" t="s">
        <v>174</v>
      </c>
      <c r="D14" s="138" t="s">
        <v>317</v>
      </c>
      <c r="E14" s="141" t="s">
        <v>317</v>
      </c>
      <c r="F14" s="133" t="s">
        <v>317</v>
      </c>
      <c r="G14" s="134" t="s">
        <v>317</v>
      </c>
      <c r="H14" s="135" t="s">
        <v>317</v>
      </c>
      <c r="I14" s="133" t="s">
        <v>317</v>
      </c>
      <c r="J14" s="134" t="s">
        <v>307</v>
      </c>
      <c r="K14" s="134" t="s">
        <v>317</v>
      </c>
      <c r="L14" s="134" t="s">
        <v>307</v>
      </c>
      <c r="M14" s="134" t="s">
        <v>317</v>
      </c>
      <c r="N14" s="130" t="s">
        <v>307</v>
      </c>
      <c r="O14" s="36"/>
      <c r="P14" s="62" t="s">
        <v>307</v>
      </c>
      <c r="Q14" s="6"/>
      <c r="R14" s="117" t="s">
        <v>398</v>
      </c>
    </row>
    <row r="15" spans="1:18">
      <c r="A15" s="20"/>
      <c r="B15" s="21"/>
      <c r="C15" s="89" t="s">
        <v>129</v>
      </c>
      <c r="D15" s="138" t="s">
        <v>322</v>
      </c>
      <c r="E15" s="141" t="s">
        <v>322</v>
      </c>
      <c r="F15" s="133" t="s">
        <v>322</v>
      </c>
      <c r="G15" s="134" t="s">
        <v>337</v>
      </c>
      <c r="H15" s="135" t="s">
        <v>322</v>
      </c>
      <c r="I15" s="133" t="s">
        <v>322</v>
      </c>
      <c r="J15" s="134" t="s">
        <v>322</v>
      </c>
      <c r="K15" s="134" t="s">
        <v>337</v>
      </c>
      <c r="L15" s="134" t="s">
        <v>322</v>
      </c>
      <c r="M15" s="134" t="s">
        <v>322</v>
      </c>
      <c r="N15" s="130" t="s">
        <v>322</v>
      </c>
      <c r="O15" s="36"/>
      <c r="P15" s="62" t="s">
        <v>322</v>
      </c>
      <c r="Q15" s="6"/>
      <c r="R15" s="117" t="s">
        <v>392</v>
      </c>
    </row>
    <row r="16" spans="1:18">
      <c r="A16" s="20"/>
      <c r="B16" s="21"/>
      <c r="C16" s="89" t="s">
        <v>175</v>
      </c>
      <c r="D16" s="138" t="s">
        <v>330</v>
      </c>
      <c r="E16" s="141" t="s">
        <v>308</v>
      </c>
      <c r="F16" s="133" t="s">
        <v>330</v>
      </c>
      <c r="G16" s="134" t="s">
        <v>308</v>
      </c>
      <c r="H16" s="134" t="s">
        <v>330</v>
      </c>
      <c r="I16" s="133" t="s">
        <v>308</v>
      </c>
      <c r="J16" s="134" t="s">
        <v>330</v>
      </c>
      <c r="K16" s="134" t="s">
        <v>308</v>
      </c>
      <c r="L16" s="134" t="s">
        <v>330</v>
      </c>
      <c r="M16" s="134" t="s">
        <v>330</v>
      </c>
      <c r="N16" s="130" t="s">
        <v>330</v>
      </c>
      <c r="O16" s="36"/>
      <c r="P16" s="62" t="s">
        <v>330</v>
      </c>
      <c r="Q16" s="6"/>
      <c r="R16" s="117" t="s">
        <v>399</v>
      </c>
    </row>
    <row r="17" spans="1:18">
      <c r="A17" s="20"/>
      <c r="B17" s="21"/>
      <c r="C17" s="89" t="s">
        <v>176</v>
      </c>
      <c r="D17" s="138" t="s">
        <v>312</v>
      </c>
      <c r="E17" s="141" t="s">
        <v>312</v>
      </c>
      <c r="F17" s="133" t="s">
        <v>320</v>
      </c>
      <c r="G17" s="134" t="s">
        <v>312</v>
      </c>
      <c r="H17" s="135" t="s">
        <v>312</v>
      </c>
      <c r="I17" s="133" t="s">
        <v>320</v>
      </c>
      <c r="J17" s="134" t="s">
        <v>312</v>
      </c>
      <c r="K17" s="134" t="s">
        <v>320</v>
      </c>
      <c r="L17" s="134" t="s">
        <v>320</v>
      </c>
      <c r="M17" s="134" t="s">
        <v>320</v>
      </c>
      <c r="N17" s="130" t="s">
        <v>320</v>
      </c>
      <c r="O17" s="36"/>
      <c r="P17" s="62" t="s">
        <v>312</v>
      </c>
      <c r="Q17" s="6"/>
      <c r="R17" s="117" t="s">
        <v>400</v>
      </c>
    </row>
    <row r="18" spans="1:18">
      <c r="A18" s="20"/>
      <c r="B18" s="21"/>
      <c r="C18" s="89" t="s">
        <v>177</v>
      </c>
      <c r="D18" s="138" t="s">
        <v>331</v>
      </c>
      <c r="E18" s="141" t="s">
        <v>331</v>
      </c>
      <c r="F18" s="133" t="s">
        <v>331</v>
      </c>
      <c r="G18" s="134" t="s">
        <v>316</v>
      </c>
      <c r="H18" s="135" t="s">
        <v>331</v>
      </c>
      <c r="I18" s="133" t="s">
        <v>316</v>
      </c>
      <c r="J18" s="134" t="s">
        <v>316</v>
      </c>
      <c r="K18" s="134" t="s">
        <v>316</v>
      </c>
      <c r="L18" s="134" t="s">
        <v>331</v>
      </c>
      <c r="M18" s="134" t="s">
        <v>316</v>
      </c>
      <c r="N18" s="130" t="s">
        <v>316</v>
      </c>
      <c r="O18" s="36"/>
      <c r="P18" s="62" t="s">
        <v>316</v>
      </c>
      <c r="Q18" s="6"/>
      <c r="R18" s="117" t="s">
        <v>401</v>
      </c>
    </row>
    <row r="19" spans="1:18">
      <c r="A19" s="20"/>
      <c r="B19" s="21"/>
      <c r="C19" s="89" t="s">
        <v>178</v>
      </c>
      <c r="D19" s="138" t="s">
        <v>334</v>
      </c>
      <c r="E19" s="141" t="s">
        <v>334</v>
      </c>
      <c r="F19" s="138" t="s">
        <v>315</v>
      </c>
      <c r="G19" s="139" t="s">
        <v>315</v>
      </c>
      <c r="H19" s="139" t="s">
        <v>315</v>
      </c>
      <c r="I19" s="138" t="s">
        <v>334</v>
      </c>
      <c r="J19" s="139" t="s">
        <v>315</v>
      </c>
      <c r="K19" s="139" t="s">
        <v>334</v>
      </c>
      <c r="L19" s="139" t="s">
        <v>315</v>
      </c>
      <c r="M19" s="139" t="s">
        <v>334</v>
      </c>
      <c r="N19" s="140" t="s">
        <v>315</v>
      </c>
      <c r="O19" s="36"/>
      <c r="P19" s="62" t="s">
        <v>315</v>
      </c>
      <c r="Q19" s="6"/>
      <c r="R19" s="117" t="s">
        <v>402</v>
      </c>
    </row>
    <row r="20" spans="1:18">
      <c r="A20" s="20"/>
      <c r="B20" s="21"/>
      <c r="C20" s="89" t="s">
        <v>179</v>
      </c>
      <c r="D20" s="138" t="s">
        <v>333</v>
      </c>
      <c r="E20" s="141" t="s">
        <v>333</v>
      </c>
      <c r="F20" s="133" t="s">
        <v>333</v>
      </c>
      <c r="G20" s="134" t="s">
        <v>336</v>
      </c>
      <c r="H20" s="135" t="s">
        <v>333</v>
      </c>
      <c r="I20" s="133" t="s">
        <v>333</v>
      </c>
      <c r="J20" s="134" t="s">
        <v>333</v>
      </c>
      <c r="K20" s="134" t="s">
        <v>333</v>
      </c>
      <c r="L20" s="134" t="s">
        <v>333</v>
      </c>
      <c r="M20" s="134" t="s">
        <v>333</v>
      </c>
      <c r="N20" s="130" t="s">
        <v>333</v>
      </c>
      <c r="O20" s="36"/>
      <c r="P20" s="62" t="s">
        <v>404</v>
      </c>
      <c r="Q20" s="6"/>
      <c r="R20" s="117" t="s">
        <v>403</v>
      </c>
    </row>
    <row r="21" spans="1:18">
      <c r="A21" s="20"/>
      <c r="B21" s="21"/>
      <c r="C21" s="89" t="s">
        <v>133</v>
      </c>
      <c r="D21" s="138" t="s">
        <v>329</v>
      </c>
      <c r="E21" s="141" t="s">
        <v>329</v>
      </c>
      <c r="F21" s="133" t="s">
        <v>329</v>
      </c>
      <c r="G21" s="134" t="s">
        <v>310</v>
      </c>
      <c r="H21" s="135" t="s">
        <v>329</v>
      </c>
      <c r="I21" s="133" t="s">
        <v>329</v>
      </c>
      <c r="J21" s="134" t="s">
        <v>329</v>
      </c>
      <c r="K21" s="134" t="s">
        <v>329</v>
      </c>
      <c r="L21" s="134" t="s">
        <v>310</v>
      </c>
      <c r="M21" s="134" t="s">
        <v>329</v>
      </c>
      <c r="N21" s="130" t="s">
        <v>329</v>
      </c>
      <c r="O21" s="36"/>
      <c r="P21" s="62" t="s">
        <v>329</v>
      </c>
      <c r="Q21" s="6"/>
      <c r="R21" s="117" t="s">
        <v>405</v>
      </c>
    </row>
    <row r="22" spans="1:18" ht="16" thickBot="1">
      <c r="A22" s="20"/>
      <c r="B22" s="21"/>
      <c r="C22" s="99" t="s">
        <v>119</v>
      </c>
      <c r="D22" s="142" t="s">
        <v>313</v>
      </c>
      <c r="E22" s="143" t="s">
        <v>313</v>
      </c>
      <c r="F22" s="144" t="s">
        <v>313</v>
      </c>
      <c r="G22" s="145" t="s">
        <v>318</v>
      </c>
      <c r="H22" s="146" t="s">
        <v>313</v>
      </c>
      <c r="I22" s="144" t="s">
        <v>313</v>
      </c>
      <c r="J22" s="145" t="s">
        <v>313</v>
      </c>
      <c r="K22" s="145" t="s">
        <v>318</v>
      </c>
      <c r="L22" s="145" t="s">
        <v>313</v>
      </c>
      <c r="M22" s="145" t="s">
        <v>313</v>
      </c>
      <c r="N22" s="147" t="s">
        <v>313</v>
      </c>
      <c r="O22" s="36"/>
      <c r="P22" s="75" t="s">
        <v>313</v>
      </c>
      <c r="Q22" s="6"/>
      <c r="R22" s="118" t="s">
        <v>406</v>
      </c>
    </row>
    <row r="23" spans="1:18" ht="16" thickTop="1">
      <c r="A23" s="20"/>
      <c r="B23" s="6"/>
      <c r="C23" s="37"/>
      <c r="D23" s="148"/>
      <c r="E23" s="149"/>
      <c r="F23" s="148"/>
      <c r="G23" s="148"/>
      <c r="H23" s="150"/>
      <c r="I23" s="148"/>
      <c r="J23" s="148"/>
      <c r="K23" s="148"/>
      <c r="L23" s="148"/>
      <c r="M23" s="148"/>
      <c r="N23" s="148"/>
      <c r="O23" s="36"/>
      <c r="P23" s="41" t="s">
        <v>16</v>
      </c>
      <c r="Q23" s="17"/>
      <c r="R23" s="2"/>
    </row>
    <row r="24" spans="1:18">
      <c r="A24" s="20"/>
      <c r="B24" s="6"/>
      <c r="C24" s="42" t="s">
        <v>15</v>
      </c>
      <c r="D24" s="123">
        <v>87</v>
      </c>
      <c r="E24" s="151">
        <v>68</v>
      </c>
      <c r="F24" s="123">
        <v>93</v>
      </c>
      <c r="G24" s="123">
        <v>73</v>
      </c>
      <c r="H24" s="122">
        <v>78</v>
      </c>
      <c r="I24" s="123">
        <v>75</v>
      </c>
      <c r="J24" s="123">
        <v>85</v>
      </c>
      <c r="K24" s="123">
        <v>88</v>
      </c>
      <c r="L24" s="123">
        <v>82</v>
      </c>
      <c r="M24" s="123">
        <v>105</v>
      </c>
      <c r="N24" s="123">
        <v>84</v>
      </c>
      <c r="O24" s="36"/>
      <c r="P24" s="106">
        <v>79</v>
      </c>
      <c r="Q24" s="17"/>
      <c r="R24" s="2"/>
    </row>
    <row r="25" spans="1:18">
      <c r="A25" s="20"/>
      <c r="B25" s="6"/>
      <c r="C25" s="43"/>
      <c r="D25" s="38"/>
      <c r="E25" s="39"/>
      <c r="F25" s="38"/>
      <c r="G25" s="38"/>
      <c r="H25" s="40"/>
      <c r="I25" s="38"/>
      <c r="J25" s="38"/>
      <c r="K25" s="38"/>
      <c r="L25" s="38"/>
      <c r="M25" s="38"/>
      <c r="N25" s="38"/>
      <c r="O25" s="36"/>
      <c r="P25" s="36"/>
      <c r="Q25" s="17"/>
      <c r="R25" s="2"/>
    </row>
    <row r="26" spans="1:18">
      <c r="A26" s="20"/>
      <c r="B26" s="6"/>
      <c r="C26" s="44" t="s">
        <v>13</v>
      </c>
      <c r="D26" s="45" t="str" cm="1">
        <f t="array" ref="D26">SUMPRODUCT(--(D7:D22=$P$7:$P$22), --($P$7:$P$22&lt;&gt;"")) &amp; "-" &amp; SUMPRODUCT(--(D7:D22&lt;&gt;$P$7:$P$22), --($P$7:$P$22&lt;&gt;""))</f>
        <v>11-5</v>
      </c>
      <c r="E26" s="46" t="str" cm="1">
        <f t="array" ref="E26">SUMPRODUCT(--(E7:E22=$P$7:$P$22), --($P$7:$P$22&lt;&gt;"")) &amp; "-" &amp; SUMPRODUCT(--(E7:E22&lt;&gt;$P$7:$P$22), --($P$7:$P$22&lt;&gt;""))</f>
        <v>8-8</v>
      </c>
      <c r="F26" s="45" t="str" cm="1">
        <f t="array" ref="F26">SUMPRODUCT(--(F7:F22=$P$7:$P$22), --($P$7:$P$22&lt;&gt;"")) &amp; "-" &amp; SUMPRODUCT(--(F7:F22&lt;&gt;$P$7:$P$22), --($P$7:$P$22&lt;&gt;""))</f>
        <v>10-6</v>
      </c>
      <c r="G26" s="45" t="str" cm="1">
        <f t="array" ref="G26">SUMPRODUCT(--(G7:G22=$P$7:$P$22), --($P$7:$P$22&lt;&gt;"")) &amp; "-" &amp; SUMPRODUCT(--(G7:G22&lt;&gt;$P$7:$P$22), --($P$7:$P$22&lt;&gt;""))</f>
        <v>6-10</v>
      </c>
      <c r="H26" s="47" t="str" cm="1">
        <f t="array" ref="H26">SUMPRODUCT(--(H7:H22=$P$7:$P$22), --($P$7:$P$22&lt;&gt;"")) &amp; "-" &amp; SUMPRODUCT(--(H7:H22&lt;&gt;$P$7:$P$22), --($P$7:$P$22&lt;&gt;""))</f>
        <v>11-5</v>
      </c>
      <c r="I26" s="45" t="str" cm="1">
        <f t="array" ref="I26">SUMPRODUCT(--(I7:I22=$P$7:$P$22), --($P$7:$P$22&lt;&gt;"")) &amp; "-" &amp; SUMPRODUCT(--(I7:I22&lt;&gt;$P$7:$P$22), --($P$7:$P$22&lt;&gt;""))</f>
        <v>8-8</v>
      </c>
      <c r="J26" s="45" t="str" cm="1">
        <f t="array" ref="J26">SUMPRODUCT(--(J7:J22=$P$7:$P$22), --($P$7:$P$22&lt;&gt;"")) &amp; "-" &amp; SUMPRODUCT(--(J7:J22&lt;&gt;$P$7:$P$22), --($P$7:$P$22&lt;&gt;""))</f>
        <v>11-5</v>
      </c>
      <c r="K26" s="45" t="str" cm="1">
        <f t="array" ref="K26">SUMPRODUCT(--(K7:K22=$P$7:$P$22), --($P$7:$P$22&lt;&gt;"")) &amp; "-" &amp; SUMPRODUCT(--(K7:K22&lt;&gt;$P$7:$P$22), --($P$7:$P$22&lt;&gt;""))</f>
        <v>6-10</v>
      </c>
      <c r="L26" s="45" t="str" cm="1">
        <f t="array" ref="L26">SUMPRODUCT(--(L7:L22=$P$7:$P$22), --($P$7:$P$22&lt;&gt;"")) &amp; "-" &amp; SUMPRODUCT(--(L7:L22&lt;&gt;$P$7:$P$22), --($P$7:$P$22&lt;&gt;""))</f>
        <v>9-7</v>
      </c>
      <c r="M26" s="45" t="str" cm="1">
        <f t="array" ref="M26">SUMPRODUCT(--(M7:M22=$P$7:$P$22), --($P$7:$P$22&lt;&gt;"")) &amp; "-" &amp; SUMPRODUCT(--(M7:M22&lt;&gt;$P$7:$P$22), --($P$7:$P$22&lt;&gt;""))</f>
        <v>9-7</v>
      </c>
      <c r="N26" s="45" t="str" cm="1">
        <f t="array" ref="N26">SUMPRODUCT(--(N7:N22=$P$7:$P$22), --($P$7:$P$22&lt;&gt;"")) &amp; "-" &amp; SUMPRODUCT(--(N7:N22&lt;&gt;$P$7:$P$22), --($P$7:$P$22&lt;&gt;""))</f>
        <v>11-5</v>
      </c>
      <c r="O26" s="36"/>
      <c r="P26" s="36"/>
      <c r="Q26" s="17"/>
      <c r="R26" s="2"/>
    </row>
    <row r="27" spans="1:18">
      <c r="A27" s="20"/>
      <c r="B27" s="6"/>
      <c r="C27" s="7"/>
      <c r="D27" s="11">
        <f>VALUE(LEFT(D26,FIND("-",D26)-1)) - VALUE(MID(D26,FIND("-",D26)+1,LEN(D26)-FIND("-",D26)))</f>
        <v>6</v>
      </c>
      <c r="E27" s="11">
        <f t="shared" ref="E27:N27" si="0">VALUE(LEFT(E26,FIND("-",E26)-1)) - VALUE(MID(E26,FIND("-",E26)+1,LEN(E26)-FIND("-",E26)))</f>
        <v>0</v>
      </c>
      <c r="F27" s="11">
        <f t="shared" si="0"/>
        <v>4</v>
      </c>
      <c r="G27" s="11">
        <f t="shared" si="0"/>
        <v>-4</v>
      </c>
      <c r="H27" s="11">
        <f t="shared" si="0"/>
        <v>6</v>
      </c>
      <c r="I27" s="11">
        <f t="shared" si="0"/>
        <v>0</v>
      </c>
      <c r="J27" s="11">
        <f t="shared" si="0"/>
        <v>6</v>
      </c>
      <c r="K27" s="11">
        <f t="shared" si="0"/>
        <v>-4</v>
      </c>
      <c r="L27" s="11">
        <f t="shared" si="0"/>
        <v>2</v>
      </c>
      <c r="M27" s="11">
        <f t="shared" si="0"/>
        <v>2</v>
      </c>
      <c r="N27" s="11">
        <f t="shared" si="0"/>
        <v>6</v>
      </c>
      <c r="O27" s="6"/>
      <c r="P27" s="6"/>
      <c r="Q27" s="17"/>
      <c r="R27" s="2"/>
    </row>
    <row r="28" spans="1:18" ht="23">
      <c r="A28" s="20"/>
      <c r="B28" s="12"/>
      <c r="C28" s="199" t="s">
        <v>17</v>
      </c>
      <c r="D28" s="200"/>
      <c r="E28" s="201" t="str" cm="1">
        <f t="array" ref="E28">IF(P24="", "",
   _xlfn.LET(
      _xlpm.scores, D27:N27,
      _xlpm.names, D5:N5,
      _xlpm.tiebreaks, D24:N24,
      _xlpm.guesses, D26:N26,
      _xlpm.maxScore, MAX(_xlpm.scores),
      _xlpm.topScorers, IF(_xlpm.scores=_xlpm.maxScore, 1, 0),
      _xlpm.tiebreakDiffs, IF(_xlpm.topScorers, ABS(_xlpm.tiebreaks - P24), ""),
      _xlpm.minDiff, MIN(IF(_xlpm.tiebreakDiffs&lt;&gt;"", _xlpm.tiebreakDiffs)),
      _xlpm.winners, IF((_xlpm.scores=_xlpm.maxScore)*(ABS(_xlpm.tiebreaks - P24)=_xlpm.minDiff), _xlpm.names, ""),
      _xlpm.guessMatch, INDEX(_xlpm.guesses, MATCH(1, (_xlpm.scores=_xlpm.maxScore)*(ABS(_xlpm.tiebreaks - P24)=_xlpm.minDiff), 0)),
      _xlpm.winnerList, _xlfn.TEXTJOIN(", ", TRUE, _xlpm.winners),
      IF(COUNTA(_xlfn._xlws.FILTER(_xlpm.winners, _xlpm.winners&lt;&gt;""))=1,
         _xlpm.winnerList &amp; " (" &amp; _xlpm.guessMatch &amp; ")",
         _xlpm.winnerList
      )
   )
)</f>
        <v>Ray (11-5)</v>
      </c>
      <c r="F28" s="202"/>
      <c r="G28" s="203"/>
      <c r="H28" s="6"/>
      <c r="I28" s="6"/>
      <c r="J28" s="6"/>
      <c r="K28" s="6"/>
      <c r="L28" s="6"/>
      <c r="M28" s="6"/>
      <c r="N28" s="6"/>
      <c r="O28" s="6"/>
      <c r="P28" s="6"/>
      <c r="Q28" s="17"/>
    </row>
    <row r="29" spans="1:18" ht="15" customHeight="1" thickBot="1">
      <c r="A29" s="20"/>
      <c r="B29" s="22"/>
      <c r="C29" s="32"/>
      <c r="D29" s="32"/>
      <c r="E29" s="33"/>
      <c r="F29" s="33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5"/>
    </row>
    <row r="30" spans="1:18" ht="16" thickTop="1">
      <c r="D30" s="1"/>
    </row>
    <row r="35" spans="9:9" ht="16" thickBot="1"/>
    <row r="36" spans="9:9" ht="16" thickTop="1">
      <c r="I36" s="13"/>
    </row>
  </sheetData>
  <sheetProtection selectLockedCells="1"/>
  <customSheetViews>
    <customSheetView guid="{096EED88-6BAE-D941-AE0E-0C5B75B09829}" scale="123" showGridLines="0" showRowCol="0" topLeftCell="B1">
      <selection activeCell="G34" sqref="G34"/>
      <pageMargins left="0.7" right="0.7" top="0.75" bottom="0.75" header="0.3" footer="0.3"/>
      <pageSetup orientation="portrait" r:id="rId1"/>
    </customSheetView>
  </customSheetViews>
  <mergeCells count="17">
    <mergeCell ref="R5:R6"/>
    <mergeCell ref="C28:D28"/>
    <mergeCell ref="E28:G28"/>
    <mergeCell ref="C3:P3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  <mergeCell ref="N5:N6"/>
    <mergeCell ref="P5:P6"/>
  </mergeCells>
  <conditionalFormatting sqref="D26:N26">
    <cfRule type="expression" dxfId="72" priority="14">
      <formula>AND(--LEFT(D26,FIND("-",D26)-1) = MAX(--LEFT($D$26:$N$26,FIND("-",$D$26:$N$26)-1)), COUNTIF($D$26:$N$26, MAX(--LEFT($D$26:$N$26,FIND("-",$D$26:$N$26)-1)) &amp; "-*") &gt; 1)</formula>
    </cfRule>
    <cfRule type="expression" dxfId="71" priority="15">
      <formula>AND(--LEFT(D26,FIND("-",D26)-1) = MAX(--LEFT($D$26:$N$26,FIND("-",$D$26:$N$26)-1)), COUNTIF($D$26:$N$26, MAX(--LEFT($D$26:$N$26,FIND("-",$D$26:$N$26)-1)) &amp; "-*") = 1)</formula>
    </cfRule>
  </conditionalFormatting>
  <conditionalFormatting sqref="D7:N12 D14:N18 D13:M13 D20:N22 D19:M19">
    <cfRule type="expression" dxfId="70" priority="6">
      <formula>AND($P7=D7, $P7&lt;&gt;"")</formula>
    </cfRule>
    <cfRule type="expression" dxfId="69" priority="7">
      <formula>AND($P7&lt;&gt;D7, $P7&lt;&gt;"")</formula>
    </cfRule>
  </conditionalFormatting>
  <conditionalFormatting sqref="N13">
    <cfRule type="expression" dxfId="68" priority="4">
      <formula>AND($P13=N13, $P13&lt;&gt;"")</formula>
    </cfRule>
    <cfRule type="expression" dxfId="67" priority="5">
      <formula>AND($P13&lt;&gt;N13, $P13&lt;&gt;"")</formula>
    </cfRule>
  </conditionalFormatting>
  <conditionalFormatting sqref="N19">
    <cfRule type="expression" dxfId="66" priority="2">
      <formula>AND($P19=N19, $P19&lt;&gt;"")</formula>
    </cfRule>
    <cfRule type="expression" dxfId="65" priority="3">
      <formula>AND($P19&lt;&gt;N19, $P19&lt;&gt;"")</formula>
    </cfRule>
  </conditionalFormatting>
  <conditionalFormatting sqref="D7:N22">
    <cfRule type="expression" dxfId="64" priority="1">
      <formula>$P7="TIE"</formula>
    </cfRule>
  </conditionalFormatting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UpdateCurrentSheet_Mac">
                <anchor moveWithCells="1" sizeWithCells="1">
                  <from>
                    <xdr:col>17</xdr:col>
                    <xdr:colOff>685800</xdr:colOff>
                    <xdr:row>2</xdr:row>
                    <xdr:rowOff>50800</xdr:rowOff>
                  </from>
                  <to>
                    <xdr:col>17</xdr:col>
                    <xdr:colOff>1333500</xdr:colOff>
                    <xdr:row>2</xdr:row>
                    <xdr:rowOff>368300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24A9B-59E5-4857-B76C-D661D199AD87}">
  <sheetPr codeName="Sheet3"/>
  <dimension ref="A2:AD36"/>
  <sheetViews>
    <sheetView workbookViewId="0">
      <selection activeCell="E29" sqref="E29"/>
    </sheetView>
  </sheetViews>
  <sheetFormatPr baseColWidth="10" defaultColWidth="8.83203125" defaultRowHeight="15"/>
  <cols>
    <col min="2" max="2" width="1.6640625" customWidth="1"/>
    <col min="3" max="3" width="11.6640625" style="1" bestFit="1" customWidth="1"/>
    <col min="4" max="14" width="13.1640625" customWidth="1"/>
    <col min="15" max="15" width="1.6640625" customWidth="1"/>
    <col min="16" max="16" width="15.5" bestFit="1" customWidth="1"/>
    <col min="17" max="17" width="1.6640625" customWidth="1"/>
    <col min="18" max="18" width="26.1640625" customWidth="1"/>
    <col min="19" max="19" width="1.6640625" customWidth="1"/>
  </cols>
  <sheetData>
    <row r="2" spans="1:30" ht="15" customHeight="1" thickBot="1">
      <c r="B2" s="31"/>
      <c r="C2" s="30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</row>
    <row r="3" spans="1:30" ht="32.25" customHeight="1" thickBot="1">
      <c r="B3" s="27"/>
      <c r="C3" s="186" t="s">
        <v>30</v>
      </c>
      <c r="D3" s="186"/>
      <c r="E3" s="186"/>
      <c r="F3" s="186"/>
      <c r="G3" s="186"/>
      <c r="H3" s="186"/>
      <c r="I3" s="186"/>
      <c r="J3" s="186"/>
      <c r="K3" s="186"/>
      <c r="L3" s="186"/>
      <c r="M3" s="186"/>
      <c r="N3" s="186"/>
      <c r="O3" s="186"/>
      <c r="P3" s="186"/>
      <c r="Q3" s="28"/>
    </row>
    <row r="4" spans="1:30" ht="15" customHeight="1" thickBot="1">
      <c r="A4" s="20"/>
      <c r="B4" s="19"/>
      <c r="C4" s="14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6"/>
      <c r="P4" s="6"/>
      <c r="Q4" s="16"/>
      <c r="R4" s="2"/>
    </row>
    <row r="5" spans="1:30" ht="23.25" customHeight="1" thickTop="1">
      <c r="A5" s="20"/>
      <c r="B5" s="6"/>
      <c r="C5" s="187" t="s">
        <v>18</v>
      </c>
      <c r="D5" s="189" t="s">
        <v>14</v>
      </c>
      <c r="E5" s="191" t="s">
        <v>2</v>
      </c>
      <c r="F5" s="193" t="s">
        <v>3</v>
      </c>
      <c r="G5" s="193" t="s">
        <v>4</v>
      </c>
      <c r="H5" s="193" t="s">
        <v>5</v>
      </c>
      <c r="I5" s="189" t="s">
        <v>6</v>
      </c>
      <c r="J5" s="189" t="s">
        <v>7</v>
      </c>
      <c r="K5" s="189" t="s">
        <v>8</v>
      </c>
      <c r="L5" s="191" t="s">
        <v>9</v>
      </c>
      <c r="M5" s="193" t="s">
        <v>10</v>
      </c>
      <c r="N5" s="189" t="s">
        <v>11</v>
      </c>
      <c r="O5" s="6"/>
      <c r="P5" s="195" t="s">
        <v>12</v>
      </c>
      <c r="Q5" s="17"/>
      <c r="R5" s="204" t="s">
        <v>389</v>
      </c>
    </row>
    <row r="6" spans="1:30" ht="8" customHeight="1" thickBot="1">
      <c r="A6" s="20"/>
      <c r="B6" s="6"/>
      <c r="C6" s="188"/>
      <c r="D6" s="190"/>
      <c r="E6" s="192"/>
      <c r="F6" s="194"/>
      <c r="G6" s="194"/>
      <c r="H6" s="194"/>
      <c r="I6" s="190"/>
      <c r="J6" s="190"/>
      <c r="K6" s="190"/>
      <c r="L6" s="192"/>
      <c r="M6" s="194"/>
      <c r="N6" s="190"/>
      <c r="O6" s="6"/>
      <c r="P6" s="196"/>
      <c r="Q6" s="17"/>
      <c r="R6" s="205"/>
    </row>
    <row r="7" spans="1:30" ht="16" thickTop="1">
      <c r="A7" s="20"/>
      <c r="B7" s="21"/>
      <c r="C7" s="81" t="s">
        <v>1</v>
      </c>
      <c r="D7" s="119" t="s">
        <v>330</v>
      </c>
      <c r="E7" s="120" t="s">
        <v>330</v>
      </c>
      <c r="F7" s="121" t="s">
        <v>330</v>
      </c>
      <c r="G7" s="121" t="s">
        <v>320</v>
      </c>
      <c r="H7" s="122" t="s">
        <v>330</v>
      </c>
      <c r="I7" s="121" t="s">
        <v>330</v>
      </c>
      <c r="J7" s="123" t="s">
        <v>330</v>
      </c>
      <c r="K7" s="123" t="s">
        <v>330</v>
      </c>
      <c r="L7" s="123" t="s">
        <v>330</v>
      </c>
      <c r="M7" s="123" t="s">
        <v>330</v>
      </c>
      <c r="N7" s="124" t="s">
        <v>330</v>
      </c>
      <c r="O7" s="36"/>
      <c r="P7" s="56" t="s">
        <v>320</v>
      </c>
      <c r="Q7" s="17"/>
      <c r="R7" s="117" t="s">
        <v>407</v>
      </c>
    </row>
    <row r="8" spans="1:30">
      <c r="A8" s="20"/>
      <c r="B8" s="21"/>
      <c r="C8" s="85" t="s">
        <v>180</v>
      </c>
      <c r="D8" s="125" t="s">
        <v>332</v>
      </c>
      <c r="E8" s="126" t="s">
        <v>332</v>
      </c>
      <c r="F8" s="127" t="s">
        <v>332</v>
      </c>
      <c r="G8" s="128" t="s">
        <v>332</v>
      </c>
      <c r="H8" s="129" t="s">
        <v>332</v>
      </c>
      <c r="I8" s="127" t="s">
        <v>332</v>
      </c>
      <c r="J8" s="128" t="s">
        <v>332</v>
      </c>
      <c r="K8" s="128" t="s">
        <v>332</v>
      </c>
      <c r="L8" s="128" t="s">
        <v>332</v>
      </c>
      <c r="M8" s="128" t="s">
        <v>332</v>
      </c>
      <c r="N8" s="130" t="s">
        <v>332</v>
      </c>
      <c r="O8" s="36"/>
      <c r="P8" s="62" t="s">
        <v>332</v>
      </c>
      <c r="Q8" s="17"/>
      <c r="R8" s="117" t="s">
        <v>408</v>
      </c>
    </row>
    <row r="9" spans="1:30">
      <c r="A9" s="20"/>
      <c r="B9" s="21"/>
      <c r="C9" s="89" t="s">
        <v>181</v>
      </c>
      <c r="D9" s="131" t="s">
        <v>308</v>
      </c>
      <c r="E9" s="132" t="s">
        <v>308</v>
      </c>
      <c r="F9" s="133" t="s">
        <v>308</v>
      </c>
      <c r="G9" s="134" t="s">
        <v>308</v>
      </c>
      <c r="H9" s="135" t="s">
        <v>308</v>
      </c>
      <c r="I9" s="133" t="s">
        <v>308</v>
      </c>
      <c r="J9" s="134" t="s">
        <v>308</v>
      </c>
      <c r="K9" s="134" t="s">
        <v>308</v>
      </c>
      <c r="L9" s="134" t="s">
        <v>308</v>
      </c>
      <c r="M9" s="134" t="s">
        <v>308</v>
      </c>
      <c r="N9" s="130" t="s">
        <v>308</v>
      </c>
      <c r="O9" s="36"/>
      <c r="P9" s="104" t="s">
        <v>308</v>
      </c>
      <c r="Q9" s="17"/>
      <c r="R9" s="117" t="s">
        <v>409</v>
      </c>
    </row>
    <row r="10" spans="1:30">
      <c r="A10" s="20"/>
      <c r="B10" s="21"/>
      <c r="C10" s="89" t="s">
        <v>106</v>
      </c>
      <c r="D10" s="131" t="s">
        <v>326</v>
      </c>
      <c r="E10" s="132" t="s">
        <v>335</v>
      </c>
      <c r="F10" s="133" t="s">
        <v>326</v>
      </c>
      <c r="G10" s="134" t="s">
        <v>326</v>
      </c>
      <c r="H10" s="135" t="s">
        <v>326</v>
      </c>
      <c r="I10" s="133" t="s">
        <v>326</v>
      </c>
      <c r="J10" s="134" t="s">
        <v>326</v>
      </c>
      <c r="K10" s="134" t="s">
        <v>326</v>
      </c>
      <c r="L10" s="134" t="s">
        <v>326</v>
      </c>
      <c r="M10" s="134" t="s">
        <v>326</v>
      </c>
      <c r="N10" s="130" t="s">
        <v>326</v>
      </c>
      <c r="O10" s="36"/>
      <c r="P10" s="104" t="s">
        <v>326</v>
      </c>
      <c r="Q10" s="17"/>
      <c r="R10" s="117" t="s">
        <v>410</v>
      </c>
    </row>
    <row r="11" spans="1:30">
      <c r="A11" s="20"/>
      <c r="B11" s="21"/>
      <c r="C11" s="89" t="s">
        <v>182</v>
      </c>
      <c r="D11" s="131" t="s">
        <v>336</v>
      </c>
      <c r="E11" s="132" t="s">
        <v>336</v>
      </c>
      <c r="F11" s="133" t="s">
        <v>336</v>
      </c>
      <c r="G11" s="134" t="s">
        <v>336</v>
      </c>
      <c r="H11" s="135" t="s">
        <v>336</v>
      </c>
      <c r="I11" s="133" t="s">
        <v>336</v>
      </c>
      <c r="J11" s="134" t="s">
        <v>336</v>
      </c>
      <c r="K11" s="134" t="s">
        <v>336</v>
      </c>
      <c r="L11" s="134" t="s">
        <v>336</v>
      </c>
      <c r="M11" s="134" t="s">
        <v>336</v>
      </c>
      <c r="N11" s="130" t="s">
        <v>336</v>
      </c>
      <c r="O11" s="36"/>
      <c r="P11" s="104" t="s">
        <v>336</v>
      </c>
      <c r="Q11" s="17"/>
      <c r="R11" s="117" t="s">
        <v>411</v>
      </c>
      <c r="T11" s="68"/>
      <c r="U11" s="68"/>
      <c r="V11" s="68"/>
      <c r="W11" s="68"/>
      <c r="X11" s="68"/>
      <c r="Y11" s="68"/>
      <c r="Z11" s="68"/>
      <c r="AA11" s="68"/>
      <c r="AB11" s="68"/>
      <c r="AC11" s="68"/>
      <c r="AD11" s="68"/>
    </row>
    <row r="12" spans="1:30">
      <c r="A12" s="20"/>
      <c r="B12" s="21"/>
      <c r="C12" s="94" t="s">
        <v>183</v>
      </c>
      <c r="D12" s="136" t="s">
        <v>307</v>
      </c>
      <c r="E12" s="137" t="s">
        <v>307</v>
      </c>
      <c r="F12" s="121" t="s">
        <v>307</v>
      </c>
      <c r="G12" s="123" t="s">
        <v>313</v>
      </c>
      <c r="H12" s="122" t="s">
        <v>313</v>
      </c>
      <c r="I12" s="121" t="s">
        <v>307</v>
      </c>
      <c r="J12" s="123" t="s">
        <v>307</v>
      </c>
      <c r="K12" s="123" t="s">
        <v>307</v>
      </c>
      <c r="L12" s="123" t="s">
        <v>307</v>
      </c>
      <c r="M12" s="123" t="s">
        <v>307</v>
      </c>
      <c r="N12" s="124" t="s">
        <v>307</v>
      </c>
      <c r="O12" s="36"/>
      <c r="P12" s="104" t="s">
        <v>313</v>
      </c>
      <c r="Q12" s="17"/>
      <c r="R12" s="117" t="s">
        <v>412</v>
      </c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</row>
    <row r="13" spans="1:30">
      <c r="A13" s="20"/>
      <c r="B13" s="21"/>
      <c r="C13" s="89" t="s">
        <v>184</v>
      </c>
      <c r="D13" s="138" t="s">
        <v>329</v>
      </c>
      <c r="E13" s="138" t="s">
        <v>329</v>
      </c>
      <c r="F13" s="133" t="s">
        <v>338</v>
      </c>
      <c r="G13" s="139" t="s">
        <v>329</v>
      </c>
      <c r="H13" s="135" t="s">
        <v>329</v>
      </c>
      <c r="I13" s="138" t="s">
        <v>329</v>
      </c>
      <c r="J13" s="139" t="s">
        <v>338</v>
      </c>
      <c r="K13" s="134" t="s">
        <v>338</v>
      </c>
      <c r="L13" s="139" t="s">
        <v>338</v>
      </c>
      <c r="M13" s="139" t="s">
        <v>329</v>
      </c>
      <c r="N13" s="140" t="s">
        <v>329</v>
      </c>
      <c r="O13" s="36"/>
      <c r="P13" s="104" t="s">
        <v>338</v>
      </c>
      <c r="Q13" s="17"/>
      <c r="R13" s="117" t="s">
        <v>413</v>
      </c>
      <c r="T13" s="68"/>
      <c r="U13" s="68"/>
      <c r="V13" s="68"/>
      <c r="W13" s="68"/>
      <c r="X13" s="68"/>
      <c r="Y13" s="68"/>
      <c r="Z13" s="68"/>
      <c r="AA13" s="68"/>
      <c r="AB13" s="68"/>
      <c r="AC13" s="68"/>
      <c r="AD13" s="68"/>
    </row>
    <row r="14" spans="1:30">
      <c r="A14" s="20"/>
      <c r="B14" s="21"/>
      <c r="C14" s="89" t="s">
        <v>118</v>
      </c>
      <c r="D14" s="138" t="s">
        <v>322</v>
      </c>
      <c r="E14" s="141" t="s">
        <v>322</v>
      </c>
      <c r="F14" s="133" t="s">
        <v>322</v>
      </c>
      <c r="G14" s="134" t="s">
        <v>331</v>
      </c>
      <c r="H14" s="135" t="s">
        <v>322</v>
      </c>
      <c r="I14" s="133" t="s">
        <v>331</v>
      </c>
      <c r="J14" s="134" t="s">
        <v>331</v>
      </c>
      <c r="K14" s="134" t="s">
        <v>331</v>
      </c>
      <c r="L14" s="134" t="s">
        <v>322</v>
      </c>
      <c r="M14" s="134" t="s">
        <v>322</v>
      </c>
      <c r="N14" s="130" t="s">
        <v>331</v>
      </c>
      <c r="O14" s="36"/>
      <c r="P14" s="104" t="s">
        <v>322</v>
      </c>
      <c r="Q14" s="17"/>
      <c r="R14" s="117" t="s">
        <v>414</v>
      </c>
      <c r="T14" s="68"/>
      <c r="U14" s="68"/>
      <c r="V14" s="68"/>
      <c r="W14" s="68"/>
      <c r="X14" s="68"/>
      <c r="Y14" s="68"/>
      <c r="Z14" s="68"/>
      <c r="AA14" s="68"/>
      <c r="AB14" s="68"/>
      <c r="AC14" s="68"/>
      <c r="AD14" s="68"/>
    </row>
    <row r="15" spans="1:30">
      <c r="A15" s="20"/>
      <c r="B15" s="21"/>
      <c r="C15" s="89" t="s">
        <v>185</v>
      </c>
      <c r="D15" s="138" t="s">
        <v>319</v>
      </c>
      <c r="E15" s="141" t="s">
        <v>319</v>
      </c>
      <c r="F15" s="133" t="s">
        <v>319</v>
      </c>
      <c r="G15" s="134" t="s">
        <v>337</v>
      </c>
      <c r="H15" s="135" t="s">
        <v>319</v>
      </c>
      <c r="I15" s="133" t="s">
        <v>319</v>
      </c>
      <c r="J15" s="134" t="s">
        <v>319</v>
      </c>
      <c r="K15" s="134" t="s">
        <v>319</v>
      </c>
      <c r="L15" s="134" t="s">
        <v>319</v>
      </c>
      <c r="M15" s="134" t="s">
        <v>319</v>
      </c>
      <c r="N15" s="130" t="s">
        <v>319</v>
      </c>
      <c r="O15" s="36"/>
      <c r="P15" s="104" t="s">
        <v>337</v>
      </c>
      <c r="Q15" s="17"/>
      <c r="R15" s="117" t="s">
        <v>415</v>
      </c>
      <c r="T15" s="68"/>
      <c r="U15" s="68"/>
      <c r="V15" s="68"/>
      <c r="W15" s="68"/>
      <c r="X15" s="68"/>
      <c r="Y15" s="68"/>
      <c r="Z15" s="68"/>
      <c r="AA15" s="68"/>
      <c r="AB15" s="68"/>
      <c r="AC15" s="68"/>
      <c r="AD15" s="68"/>
    </row>
    <row r="16" spans="1:30">
      <c r="A16" s="20"/>
      <c r="B16" s="21"/>
      <c r="C16" s="89" t="s">
        <v>186</v>
      </c>
      <c r="D16" s="138" t="s">
        <v>328</v>
      </c>
      <c r="E16" s="141" t="s">
        <v>328</v>
      </c>
      <c r="F16" s="133" t="s">
        <v>328</v>
      </c>
      <c r="G16" s="134" t="s">
        <v>317</v>
      </c>
      <c r="H16" s="134" t="s">
        <v>317</v>
      </c>
      <c r="I16" s="133" t="s">
        <v>328</v>
      </c>
      <c r="J16" s="134" t="s">
        <v>328</v>
      </c>
      <c r="K16" s="134" t="s">
        <v>328</v>
      </c>
      <c r="L16" s="134" t="s">
        <v>328</v>
      </c>
      <c r="M16" s="134" t="s">
        <v>317</v>
      </c>
      <c r="N16" s="130" t="s">
        <v>328</v>
      </c>
      <c r="O16" s="36"/>
      <c r="P16" s="104" t="s">
        <v>317</v>
      </c>
      <c r="Q16" s="17"/>
      <c r="R16" s="117" t="s">
        <v>416</v>
      </c>
      <c r="T16" s="68"/>
      <c r="U16" s="68"/>
      <c r="V16" s="68"/>
      <c r="W16" s="68"/>
      <c r="X16" s="68"/>
      <c r="Y16" s="68"/>
      <c r="Z16" s="68"/>
      <c r="AA16" s="68"/>
      <c r="AB16" s="68"/>
      <c r="AC16" s="68"/>
      <c r="AD16" s="68"/>
    </row>
    <row r="17" spans="1:30">
      <c r="A17" s="20"/>
      <c r="B17" s="21"/>
      <c r="C17" s="89" t="s">
        <v>187</v>
      </c>
      <c r="D17" s="138" t="s">
        <v>321</v>
      </c>
      <c r="E17" s="141" t="s">
        <v>321</v>
      </c>
      <c r="F17" s="133" t="s">
        <v>321</v>
      </c>
      <c r="G17" s="134" t="s">
        <v>321</v>
      </c>
      <c r="H17" s="135" t="s">
        <v>321</v>
      </c>
      <c r="I17" s="133" t="s">
        <v>321</v>
      </c>
      <c r="J17" s="134" t="s">
        <v>321</v>
      </c>
      <c r="K17" s="134" t="s">
        <v>321</v>
      </c>
      <c r="L17" s="134" t="s">
        <v>321</v>
      </c>
      <c r="M17" s="134" t="s">
        <v>321</v>
      </c>
      <c r="N17" s="130" t="s">
        <v>321</v>
      </c>
      <c r="O17" s="36"/>
      <c r="P17" s="104" t="s">
        <v>321</v>
      </c>
      <c r="Q17" s="17"/>
      <c r="R17" s="117" t="s">
        <v>417</v>
      </c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</row>
    <row r="18" spans="1:30">
      <c r="A18" s="20"/>
      <c r="B18" s="21"/>
      <c r="C18" s="89" t="s">
        <v>188</v>
      </c>
      <c r="D18" s="138" t="s">
        <v>323</v>
      </c>
      <c r="E18" s="141" t="s">
        <v>323</v>
      </c>
      <c r="F18" s="133" t="s">
        <v>323</v>
      </c>
      <c r="G18" s="134" t="s">
        <v>323</v>
      </c>
      <c r="H18" s="135" t="s">
        <v>323</v>
      </c>
      <c r="I18" s="133" t="s">
        <v>323</v>
      </c>
      <c r="J18" s="134" t="s">
        <v>323</v>
      </c>
      <c r="K18" s="134" t="s">
        <v>323</v>
      </c>
      <c r="L18" s="134" t="s">
        <v>323</v>
      </c>
      <c r="M18" s="134" t="s">
        <v>323</v>
      </c>
      <c r="N18" s="130" t="s">
        <v>323</v>
      </c>
      <c r="O18" s="36"/>
      <c r="P18" s="104" t="s">
        <v>311</v>
      </c>
      <c r="Q18" s="17"/>
      <c r="R18" s="117" t="s">
        <v>418</v>
      </c>
    </row>
    <row r="19" spans="1:30">
      <c r="A19" s="20"/>
      <c r="B19" s="21"/>
      <c r="C19" s="89" t="s">
        <v>132</v>
      </c>
      <c r="D19" s="138" t="s">
        <v>314</v>
      </c>
      <c r="E19" s="141" t="s">
        <v>314</v>
      </c>
      <c r="F19" s="138" t="s">
        <v>309</v>
      </c>
      <c r="G19" s="139" t="s">
        <v>309</v>
      </c>
      <c r="H19" s="139" t="s">
        <v>314</v>
      </c>
      <c r="I19" s="138" t="s">
        <v>314</v>
      </c>
      <c r="J19" s="139" t="s">
        <v>314</v>
      </c>
      <c r="K19" s="139" t="s">
        <v>314</v>
      </c>
      <c r="L19" s="139" t="s">
        <v>314</v>
      </c>
      <c r="M19" s="139" t="s">
        <v>314</v>
      </c>
      <c r="N19" s="140" t="s">
        <v>314</v>
      </c>
      <c r="O19" s="36"/>
      <c r="P19" s="104" t="s">
        <v>309</v>
      </c>
      <c r="Q19" s="17"/>
      <c r="R19" s="117" t="s">
        <v>419</v>
      </c>
    </row>
    <row r="20" spans="1:30">
      <c r="A20" s="20"/>
      <c r="B20" s="21"/>
      <c r="C20" s="89" t="s">
        <v>189</v>
      </c>
      <c r="D20" s="138" t="s">
        <v>312</v>
      </c>
      <c r="E20" s="141" t="s">
        <v>316</v>
      </c>
      <c r="F20" s="133" t="s">
        <v>316</v>
      </c>
      <c r="G20" s="134" t="s">
        <v>312</v>
      </c>
      <c r="H20" s="135" t="s">
        <v>312</v>
      </c>
      <c r="I20" s="133" t="s">
        <v>316</v>
      </c>
      <c r="J20" s="134" t="s">
        <v>316</v>
      </c>
      <c r="K20" s="134" t="s">
        <v>316</v>
      </c>
      <c r="L20" s="134" t="s">
        <v>316</v>
      </c>
      <c r="M20" s="134" t="s">
        <v>316</v>
      </c>
      <c r="N20" s="130" t="s">
        <v>316</v>
      </c>
      <c r="O20" s="36"/>
      <c r="P20" s="104" t="s">
        <v>312</v>
      </c>
      <c r="Q20" s="17"/>
      <c r="R20" s="117" t="s">
        <v>420</v>
      </c>
    </row>
    <row r="21" spans="1:30">
      <c r="A21" s="20"/>
      <c r="B21" s="21"/>
      <c r="C21" s="89"/>
      <c r="D21" s="138"/>
      <c r="E21" s="141"/>
      <c r="F21" s="133"/>
      <c r="G21" s="134"/>
      <c r="H21" s="135"/>
      <c r="I21" s="133"/>
      <c r="J21" s="134"/>
      <c r="K21" s="134"/>
      <c r="L21" s="134"/>
      <c r="M21" s="134"/>
      <c r="N21" s="130"/>
      <c r="O21" s="36"/>
      <c r="P21" s="104"/>
      <c r="Q21" s="17"/>
      <c r="R21" s="117"/>
    </row>
    <row r="22" spans="1:30" ht="16" thickBot="1">
      <c r="A22" s="20"/>
      <c r="B22" s="21"/>
      <c r="C22" s="99"/>
      <c r="D22" s="142"/>
      <c r="E22" s="143"/>
      <c r="F22" s="144"/>
      <c r="G22" s="145"/>
      <c r="H22" s="146"/>
      <c r="I22" s="144"/>
      <c r="J22" s="145"/>
      <c r="K22" s="145"/>
      <c r="L22" s="145"/>
      <c r="M22" s="145"/>
      <c r="N22" s="147"/>
      <c r="O22" s="36"/>
      <c r="P22" s="105"/>
      <c r="Q22" s="17"/>
      <c r="R22" s="118"/>
    </row>
    <row r="23" spans="1:30" ht="16" thickTop="1">
      <c r="A23" s="20"/>
      <c r="B23" s="6"/>
      <c r="C23" s="37"/>
      <c r="D23" s="38"/>
      <c r="E23" s="39"/>
      <c r="F23" s="38"/>
      <c r="G23" s="38"/>
      <c r="H23" s="40"/>
      <c r="I23" s="38"/>
      <c r="J23" s="38"/>
      <c r="K23" s="38"/>
      <c r="L23" s="38"/>
      <c r="M23" s="38"/>
      <c r="N23" s="38"/>
      <c r="O23" s="36"/>
      <c r="P23" s="41" t="s">
        <v>16</v>
      </c>
      <c r="Q23" s="17"/>
      <c r="R23" s="2"/>
    </row>
    <row r="24" spans="1:30">
      <c r="A24" s="20"/>
      <c r="B24" s="6"/>
      <c r="C24" s="42" t="s">
        <v>15</v>
      </c>
      <c r="D24" s="82">
        <v>46</v>
      </c>
      <c r="E24" s="107">
        <v>43</v>
      </c>
      <c r="F24" s="82">
        <v>43</v>
      </c>
      <c r="G24" s="82">
        <v>45</v>
      </c>
      <c r="H24" s="83">
        <v>48</v>
      </c>
      <c r="I24" s="82">
        <v>41</v>
      </c>
      <c r="J24" s="82">
        <v>45</v>
      </c>
      <c r="K24" s="82">
        <v>45</v>
      </c>
      <c r="L24" s="82">
        <v>51</v>
      </c>
      <c r="M24" s="82">
        <v>42</v>
      </c>
      <c r="N24" s="82">
        <v>42</v>
      </c>
      <c r="O24" s="36"/>
      <c r="P24" s="106">
        <v>59</v>
      </c>
      <c r="Q24" s="17"/>
      <c r="R24" s="2"/>
    </row>
    <row r="25" spans="1:30">
      <c r="A25" s="20"/>
      <c r="B25" s="6"/>
      <c r="C25" s="43"/>
      <c r="D25" s="38"/>
      <c r="E25" s="39"/>
      <c r="F25" s="38"/>
      <c r="G25" s="38"/>
      <c r="H25" s="40"/>
      <c r="I25" s="38"/>
      <c r="J25" s="38"/>
      <c r="K25" s="38"/>
      <c r="L25" s="38"/>
      <c r="M25" s="38"/>
      <c r="N25" s="38"/>
      <c r="O25" s="36"/>
      <c r="P25" s="36"/>
      <c r="Q25" s="17"/>
      <c r="R25" s="2"/>
    </row>
    <row r="26" spans="1:30">
      <c r="A26" s="20"/>
      <c r="B26" s="6"/>
      <c r="C26" s="44" t="s">
        <v>13</v>
      </c>
      <c r="D26" s="45" t="str" cm="1">
        <f t="array" ref="D26">SUMPRODUCT(--(D7:D22=$P$7:$P$22), --($P$7:$P$22&lt;&gt;"")) &amp; "-" &amp; SUMPRODUCT(--(D7:D22&lt;&gt;$P$7:$P$22), --($P$7:$P$22&lt;&gt;""))</f>
        <v>7-7</v>
      </c>
      <c r="E26" s="46" t="str" cm="1">
        <f t="array" ref="E26">SUMPRODUCT(--(E7:E22=$P$7:$P$22), --($P$7:$P$22&lt;&gt;"")) &amp; "-" &amp; SUMPRODUCT(--(E7:E22&lt;&gt;$P$7:$P$22), --($P$7:$P$22&lt;&gt;""))</f>
        <v>5-9</v>
      </c>
      <c r="F26" s="45" t="str" cm="1">
        <f t="array" ref="F26">SUMPRODUCT(--(F7:F22=$P$7:$P$22), --($P$7:$P$22&lt;&gt;"")) &amp; "-" &amp; SUMPRODUCT(--(F7:F22&lt;&gt;$P$7:$P$22), --($P$7:$P$22&lt;&gt;""))</f>
        <v>8-6</v>
      </c>
      <c r="G26" s="45" t="str" cm="1">
        <f t="array" ref="G26">SUMPRODUCT(--(G7:G22=$P$7:$P$22), --($P$7:$P$22&lt;&gt;"")) &amp; "-" &amp; SUMPRODUCT(--(G7:G22&lt;&gt;$P$7:$P$22), --($P$7:$P$22&lt;&gt;""))</f>
        <v>11-3</v>
      </c>
      <c r="H26" s="47" t="str" cm="1">
        <f t="array" ref="H26">SUMPRODUCT(--(H7:H22=$P$7:$P$22), --($P$7:$P$22&lt;&gt;"")) &amp; "-" &amp; SUMPRODUCT(--(H7:H22&lt;&gt;$P$7:$P$22), --($P$7:$P$22&lt;&gt;""))</f>
        <v>9-5</v>
      </c>
      <c r="I26" s="45" t="str" cm="1">
        <f t="array" ref="I26">SUMPRODUCT(--(I7:I22=$P$7:$P$22), --($P$7:$P$22&lt;&gt;"")) &amp; "-" &amp; SUMPRODUCT(--(I7:I22&lt;&gt;$P$7:$P$22), --($P$7:$P$22&lt;&gt;""))</f>
        <v>5-9</v>
      </c>
      <c r="J26" s="45" t="str" cm="1">
        <f t="array" ref="J26">SUMPRODUCT(--(J7:J22=$P$7:$P$22), --($P$7:$P$22&lt;&gt;"")) &amp; "-" &amp; SUMPRODUCT(--(J7:J22&lt;&gt;$P$7:$P$22), --($P$7:$P$22&lt;&gt;""))</f>
        <v>6-8</v>
      </c>
      <c r="K26" s="45" t="str" cm="1">
        <f t="array" ref="K26">SUMPRODUCT(--(K7:K22=$P$7:$P$22), --($P$7:$P$22&lt;&gt;"")) &amp; "-" &amp; SUMPRODUCT(--(K7:K22&lt;&gt;$P$7:$P$22), --($P$7:$P$22&lt;&gt;""))</f>
        <v>6-8</v>
      </c>
      <c r="L26" s="45" t="str" cm="1">
        <f t="array" ref="L26">SUMPRODUCT(--(L7:L22=$P$7:$P$22), --($P$7:$P$22&lt;&gt;"")) &amp; "-" &amp; SUMPRODUCT(--(L7:L22&lt;&gt;$P$7:$P$22), --($P$7:$P$22&lt;&gt;""))</f>
        <v>7-7</v>
      </c>
      <c r="M26" s="45" t="str" cm="1">
        <f t="array" ref="M26">SUMPRODUCT(--(M7:M22=$P$7:$P$22), --($P$7:$P$22&lt;&gt;"")) &amp; "-" &amp; SUMPRODUCT(--(M7:M22&lt;&gt;$P$7:$P$22), --($P$7:$P$22&lt;&gt;""))</f>
        <v>7-7</v>
      </c>
      <c r="N26" s="45" t="str" cm="1">
        <f t="array" ref="N26">SUMPRODUCT(--(N7:N22=$P$7:$P$22), --($P$7:$P$22&lt;&gt;"")) &amp; "-" &amp; SUMPRODUCT(--(N7:N22&lt;&gt;$P$7:$P$22), --($P$7:$P$22&lt;&gt;""))</f>
        <v>5-9</v>
      </c>
      <c r="O26" s="36"/>
      <c r="P26" s="36"/>
      <c r="Q26" s="17"/>
      <c r="R26" s="2"/>
    </row>
    <row r="27" spans="1:30">
      <c r="A27" s="20"/>
      <c r="B27" s="6"/>
      <c r="C27" s="7"/>
      <c r="D27" s="11">
        <f>VALUE(LEFT(D26,FIND("-",D26)-1)) - VALUE(MID(D26,FIND("-",D26)+1,LEN(D26)-FIND("-",D26)))</f>
        <v>0</v>
      </c>
      <c r="E27" s="11">
        <f t="shared" ref="E27:N27" si="0">VALUE(LEFT(E26,FIND("-",E26)-1)) - VALUE(MID(E26,FIND("-",E26)+1,LEN(E26)-FIND("-",E26)))</f>
        <v>-4</v>
      </c>
      <c r="F27" s="11">
        <f t="shared" si="0"/>
        <v>2</v>
      </c>
      <c r="G27" s="11">
        <f t="shared" si="0"/>
        <v>8</v>
      </c>
      <c r="H27" s="11">
        <f t="shared" si="0"/>
        <v>4</v>
      </c>
      <c r="I27" s="11">
        <f t="shared" si="0"/>
        <v>-4</v>
      </c>
      <c r="J27" s="11">
        <f t="shared" si="0"/>
        <v>-2</v>
      </c>
      <c r="K27" s="11">
        <f t="shared" si="0"/>
        <v>-2</v>
      </c>
      <c r="L27" s="11">
        <f t="shared" si="0"/>
        <v>0</v>
      </c>
      <c r="M27" s="11">
        <f t="shared" si="0"/>
        <v>0</v>
      </c>
      <c r="N27" s="11">
        <f t="shared" si="0"/>
        <v>-4</v>
      </c>
      <c r="O27" s="6"/>
      <c r="P27" s="6"/>
      <c r="Q27" s="17"/>
      <c r="R27" s="2"/>
    </row>
    <row r="28" spans="1:30" ht="24" customHeight="1">
      <c r="A28" s="20"/>
      <c r="B28" s="12"/>
      <c r="C28" s="199" t="s">
        <v>17</v>
      </c>
      <c r="D28" s="200"/>
      <c r="E28" s="201" t="str" cm="1">
        <f t="array" ref="E28">IF(P24="", "",
   _xlfn.LET(
      _xlpm.scores, D27:N27,
      _xlpm.names, D5:N5,
      _xlpm.tiebreaks, D24:N24,
      _xlpm.guesses, D26:N26,
      _xlpm.maxScore, MAX(_xlpm.scores),
      _xlpm.topScorers, IF(_xlpm.scores=_xlpm.maxScore, 1, 0),
      _xlpm.tiebreakDiffs, IF(_xlpm.topScorers, ABS(_xlpm.tiebreaks - P24), ""),
      _xlpm.minDiff, MIN(IF(_xlpm.tiebreakDiffs&lt;&gt;"", _xlpm.tiebreakDiffs)),
      _xlpm.winners, IF((_xlpm.scores=_xlpm.maxScore)*(ABS(_xlpm.tiebreaks - P24)=_xlpm.minDiff), _xlpm.names, ""),
      _xlpm.guessMatch, INDEX(_xlpm.guesses, MATCH(1, (_xlpm.scores=_xlpm.maxScore)*(ABS(_xlpm.tiebreaks - P24)=_xlpm.minDiff), 0)),
      _xlpm.winnerList, _xlfn.TEXTJOIN(", ", TRUE, _xlpm.winners),
      IF(COUNTA(_xlfn._xlws.FILTER(_xlpm.winners, _xlpm.winners&lt;&gt;""))=1,
         _xlpm.winnerList &amp; " (" &amp; _xlpm.guessMatch &amp; ")",
         _xlpm.winnerList
      )
   )
)</f>
        <v>Cowan (11-3)</v>
      </c>
      <c r="F28" s="202"/>
      <c r="G28" s="203"/>
      <c r="H28" s="6"/>
      <c r="I28" s="6"/>
      <c r="J28" s="6"/>
      <c r="K28" s="6"/>
      <c r="L28" s="6"/>
      <c r="M28" s="6"/>
      <c r="N28" s="6"/>
      <c r="O28" s="6"/>
      <c r="P28" s="6"/>
      <c r="Q28" s="17"/>
    </row>
    <row r="29" spans="1:30" ht="15" customHeight="1" thickBot="1">
      <c r="A29" s="20"/>
      <c r="B29" s="22"/>
      <c r="C29" s="32"/>
      <c r="D29" s="32"/>
      <c r="E29" s="33"/>
      <c r="F29" s="33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5"/>
    </row>
    <row r="30" spans="1:30" ht="16" thickTop="1">
      <c r="D30" s="1"/>
    </row>
    <row r="35" spans="9:9" ht="16" thickBot="1"/>
    <row r="36" spans="9:9" ht="16" thickTop="1">
      <c r="I36" s="13"/>
    </row>
  </sheetData>
  <sheetProtection selectLockedCells="1"/>
  <customSheetViews>
    <customSheetView guid="{096EED88-6BAE-D941-AE0E-0C5B75B09829}">
      <selection activeCell="E29" sqref="E29"/>
      <pageMargins left="0.7" right="0.7" top="0.75" bottom="0.75" header="0.3" footer="0.3"/>
      <pageSetup orientation="portrait" r:id="rId1"/>
    </customSheetView>
  </customSheetViews>
  <mergeCells count="17">
    <mergeCell ref="C3:P3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  <mergeCell ref="N5:N6"/>
    <mergeCell ref="P5:P6"/>
    <mergeCell ref="R5:R6"/>
    <mergeCell ref="C28:D28"/>
    <mergeCell ref="E28:G28"/>
  </mergeCells>
  <conditionalFormatting sqref="D26:N26">
    <cfRule type="expression" dxfId="63" priority="33">
      <formula>AND(--LEFT(D26,FIND("-",D26)-1) = MAX(--LEFT($D$26:$N$26,FIND("-",$D$26:$N$26)-1)), COUNTIF($D$26:$N$26, MAX(--LEFT($D$26:$N$26,FIND("-",$D$26:$N$26)-1)) &amp; "-*") &gt; 1)</formula>
    </cfRule>
    <cfRule type="expression" dxfId="62" priority="34">
      <formula>AND(--LEFT(D26,FIND("-",D26)-1) = MAX(--LEFT($D$26:$N$26,FIND("-",$D$26:$N$26)-1)), COUNTIF($D$26:$N$26, MAX(--LEFT($D$26:$N$26,FIND("-",$D$26:$N$26)-1)) &amp; "-*") = 1)</formula>
    </cfRule>
  </conditionalFormatting>
  <conditionalFormatting sqref="D7:N12 D14:N18 D13:M13 D20:N22 D19:M19">
    <cfRule type="expression" dxfId="61" priority="6">
      <formula>AND($P7=D7, $P7&lt;&gt;"")</formula>
    </cfRule>
    <cfRule type="expression" dxfId="60" priority="7">
      <formula>AND($P7&lt;&gt;D7, $P7&lt;&gt;"")</formula>
    </cfRule>
  </conditionalFormatting>
  <conditionalFormatting sqref="N13">
    <cfRule type="expression" dxfId="59" priority="4">
      <formula>AND($P13=N13, $P13&lt;&gt;"")</formula>
    </cfRule>
    <cfRule type="expression" dxfId="58" priority="5">
      <formula>AND($P13&lt;&gt;N13, $P13&lt;&gt;"")</formula>
    </cfRule>
  </conditionalFormatting>
  <conditionalFormatting sqref="N19">
    <cfRule type="expression" dxfId="57" priority="2">
      <formula>AND($P19=N19, $P19&lt;&gt;"")</formula>
    </cfRule>
    <cfRule type="expression" dxfId="56" priority="3">
      <formula>AND($P19&lt;&gt;N19, $P19&lt;&gt;"")</formula>
    </cfRule>
  </conditionalFormatting>
  <conditionalFormatting sqref="D7:N22">
    <cfRule type="expression" dxfId="55" priority="1">
      <formula>$P7="TIE"</formula>
    </cfRule>
  </conditionalFormatting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UpdateCurrentSheet">
                <anchor moveWithCells="1" sizeWithCells="1">
                  <from>
                    <xdr:col>17</xdr:col>
                    <xdr:colOff>647700</xdr:colOff>
                    <xdr:row>2</xdr:row>
                    <xdr:rowOff>50800</xdr:rowOff>
                  </from>
                  <to>
                    <xdr:col>17</xdr:col>
                    <xdr:colOff>1295400</xdr:colOff>
                    <xdr:row>2</xdr:row>
                    <xdr:rowOff>368300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D87BD-0752-47A6-9EE6-38006AB7445C}">
  <sheetPr codeName="Sheet4">
    <pageSetUpPr fitToPage="1"/>
  </sheetPr>
  <dimension ref="A2:R36"/>
  <sheetViews>
    <sheetView workbookViewId="0">
      <selection activeCell="E29" sqref="E29"/>
    </sheetView>
  </sheetViews>
  <sheetFormatPr baseColWidth="10" defaultColWidth="8.83203125" defaultRowHeight="15"/>
  <cols>
    <col min="2" max="2" width="1.6640625" customWidth="1"/>
    <col min="3" max="3" width="11.6640625" style="1" bestFit="1" customWidth="1"/>
    <col min="4" max="14" width="13.1640625" customWidth="1"/>
    <col min="15" max="15" width="1.6640625" customWidth="1"/>
    <col min="16" max="16" width="15.5" bestFit="1" customWidth="1"/>
    <col min="17" max="17" width="1.6640625" customWidth="1"/>
    <col min="18" max="18" width="26.1640625" customWidth="1"/>
    <col min="19" max="19" width="1.6640625" customWidth="1"/>
  </cols>
  <sheetData>
    <row r="2" spans="1:18" ht="15" customHeight="1" thickBot="1">
      <c r="B2" s="31"/>
      <c r="C2" s="30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</row>
    <row r="3" spans="1:18" ht="32.25" customHeight="1" thickBot="1">
      <c r="B3" s="27"/>
      <c r="C3" s="186" t="s">
        <v>37</v>
      </c>
      <c r="D3" s="186"/>
      <c r="E3" s="186"/>
      <c r="F3" s="186"/>
      <c r="G3" s="186"/>
      <c r="H3" s="186"/>
      <c r="I3" s="186"/>
      <c r="J3" s="186"/>
      <c r="K3" s="186"/>
      <c r="L3" s="186"/>
      <c r="M3" s="186"/>
      <c r="N3" s="186"/>
      <c r="O3" s="186"/>
      <c r="P3" s="186"/>
      <c r="Q3" s="28"/>
    </row>
    <row r="4" spans="1:18" ht="15" customHeight="1" thickBot="1">
      <c r="A4" s="20"/>
      <c r="B4" s="19"/>
      <c r="C4" s="14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6"/>
      <c r="P4" s="6"/>
      <c r="Q4" s="16"/>
      <c r="R4" s="2"/>
    </row>
    <row r="5" spans="1:18" ht="23.25" customHeight="1" thickTop="1">
      <c r="A5" s="20"/>
      <c r="B5" s="6"/>
      <c r="C5" s="187" t="s">
        <v>18</v>
      </c>
      <c r="D5" s="189" t="s">
        <v>14</v>
      </c>
      <c r="E5" s="191" t="s">
        <v>2</v>
      </c>
      <c r="F5" s="193" t="s">
        <v>3</v>
      </c>
      <c r="G5" s="193" t="s">
        <v>4</v>
      </c>
      <c r="H5" s="193" t="s">
        <v>5</v>
      </c>
      <c r="I5" s="189" t="s">
        <v>6</v>
      </c>
      <c r="J5" s="189" t="s">
        <v>7</v>
      </c>
      <c r="K5" s="189" t="s">
        <v>8</v>
      </c>
      <c r="L5" s="191" t="s">
        <v>9</v>
      </c>
      <c r="M5" s="193" t="s">
        <v>10</v>
      </c>
      <c r="N5" s="189" t="s">
        <v>11</v>
      </c>
      <c r="O5" s="6"/>
      <c r="P5" s="195" t="s">
        <v>12</v>
      </c>
      <c r="Q5" s="17"/>
      <c r="R5" s="204" t="s">
        <v>389</v>
      </c>
    </row>
    <row r="6" spans="1:18" ht="8" customHeight="1" thickBot="1">
      <c r="A6" s="20"/>
      <c r="B6" s="6"/>
      <c r="C6" s="188"/>
      <c r="D6" s="190"/>
      <c r="E6" s="192"/>
      <c r="F6" s="194"/>
      <c r="G6" s="194"/>
      <c r="H6" s="194"/>
      <c r="I6" s="190"/>
      <c r="J6" s="190"/>
      <c r="K6" s="190"/>
      <c r="L6" s="192"/>
      <c r="M6" s="194"/>
      <c r="N6" s="190"/>
      <c r="O6" s="6"/>
      <c r="P6" s="196"/>
      <c r="Q6" s="17"/>
      <c r="R6" s="205"/>
    </row>
    <row r="7" spans="1:18" ht="16" thickTop="1">
      <c r="A7" s="20"/>
      <c r="B7" s="21"/>
      <c r="C7" s="81" t="s">
        <v>134</v>
      </c>
      <c r="D7" s="119" t="s">
        <v>307</v>
      </c>
      <c r="E7" s="120" t="s">
        <v>307</v>
      </c>
      <c r="F7" s="121" t="s">
        <v>307</v>
      </c>
      <c r="G7" s="121" t="s">
        <v>307</v>
      </c>
      <c r="H7" s="122" t="s">
        <v>307</v>
      </c>
      <c r="I7" s="121" t="s">
        <v>307</v>
      </c>
      <c r="J7" s="123" t="s">
        <v>307</v>
      </c>
      <c r="K7" s="123" t="s">
        <v>307</v>
      </c>
      <c r="L7" s="123" t="s">
        <v>307</v>
      </c>
      <c r="M7" s="123" t="s">
        <v>307</v>
      </c>
      <c r="N7" s="124" t="s">
        <v>307</v>
      </c>
      <c r="O7" s="36"/>
      <c r="P7" s="56" t="s">
        <v>335</v>
      </c>
      <c r="Q7" s="17"/>
      <c r="R7" s="117" t="s">
        <v>421</v>
      </c>
    </row>
    <row r="8" spans="1:18">
      <c r="A8" s="20"/>
      <c r="B8" s="21"/>
      <c r="C8" s="85" t="s">
        <v>190</v>
      </c>
      <c r="D8" s="125" t="s">
        <v>313</v>
      </c>
      <c r="E8" s="126" t="s">
        <v>313</v>
      </c>
      <c r="F8" s="127" t="s">
        <v>313</v>
      </c>
      <c r="G8" s="128" t="s">
        <v>313</v>
      </c>
      <c r="H8" s="129" t="s">
        <v>313</v>
      </c>
      <c r="I8" s="127" t="s">
        <v>313</v>
      </c>
      <c r="J8" s="128" t="s">
        <v>313</v>
      </c>
      <c r="K8" s="128" t="s">
        <v>313</v>
      </c>
      <c r="L8" s="128" t="s">
        <v>313</v>
      </c>
      <c r="M8" s="128" t="s">
        <v>313</v>
      </c>
      <c r="N8" s="130" t="s">
        <v>313</v>
      </c>
      <c r="O8" s="36"/>
      <c r="P8" s="62" t="s">
        <v>313</v>
      </c>
      <c r="Q8" s="17"/>
      <c r="R8" s="117" t="s">
        <v>422</v>
      </c>
    </row>
    <row r="9" spans="1:18">
      <c r="A9" s="20"/>
      <c r="B9" s="21"/>
      <c r="C9" s="89" t="s">
        <v>191</v>
      </c>
      <c r="D9" s="131" t="s">
        <v>308</v>
      </c>
      <c r="E9" s="132" t="s">
        <v>308</v>
      </c>
      <c r="F9" s="133" t="s">
        <v>308</v>
      </c>
      <c r="G9" s="134" t="s">
        <v>308</v>
      </c>
      <c r="H9" s="135" t="s">
        <v>308</v>
      </c>
      <c r="I9" s="133" t="s">
        <v>308</v>
      </c>
      <c r="J9" s="134" t="s">
        <v>308</v>
      </c>
      <c r="K9" s="134" t="s">
        <v>308</v>
      </c>
      <c r="L9" s="134" t="s">
        <v>308</v>
      </c>
      <c r="M9" s="134" t="s">
        <v>308</v>
      </c>
      <c r="N9" s="130" t="s">
        <v>308</v>
      </c>
      <c r="O9" s="36"/>
      <c r="P9" s="104" t="s">
        <v>308</v>
      </c>
      <c r="Q9" s="17"/>
      <c r="R9" s="117" t="s">
        <v>424</v>
      </c>
    </row>
    <row r="10" spans="1:18">
      <c r="A10" s="20"/>
      <c r="B10" s="21"/>
      <c r="C10" s="89" t="s">
        <v>192</v>
      </c>
      <c r="D10" s="131" t="s">
        <v>329</v>
      </c>
      <c r="E10" s="132" t="s">
        <v>323</v>
      </c>
      <c r="F10" s="133" t="s">
        <v>323</v>
      </c>
      <c r="G10" s="134" t="s">
        <v>323</v>
      </c>
      <c r="H10" s="135" t="s">
        <v>323</v>
      </c>
      <c r="I10" s="133" t="s">
        <v>323</v>
      </c>
      <c r="J10" s="134" t="s">
        <v>323</v>
      </c>
      <c r="K10" s="134" t="s">
        <v>323</v>
      </c>
      <c r="L10" s="134" t="s">
        <v>323</v>
      </c>
      <c r="M10" s="134" t="s">
        <v>323</v>
      </c>
      <c r="N10" s="130" t="s">
        <v>323</v>
      </c>
      <c r="O10" s="36"/>
      <c r="P10" s="104" t="s">
        <v>323</v>
      </c>
      <c r="Q10" s="17"/>
      <c r="R10" s="117" t="s">
        <v>425</v>
      </c>
    </row>
    <row r="11" spans="1:18">
      <c r="A11" s="20"/>
      <c r="B11" s="21"/>
      <c r="C11" s="89" t="s">
        <v>85</v>
      </c>
      <c r="D11" s="131" t="s">
        <v>327</v>
      </c>
      <c r="E11" s="132" t="s">
        <v>327</v>
      </c>
      <c r="F11" s="133" t="s">
        <v>327</v>
      </c>
      <c r="G11" s="134" t="s">
        <v>327</v>
      </c>
      <c r="H11" s="135" t="s">
        <v>327</v>
      </c>
      <c r="I11" s="133" t="s">
        <v>327</v>
      </c>
      <c r="J11" s="134" t="s">
        <v>327</v>
      </c>
      <c r="K11" s="134" t="s">
        <v>327</v>
      </c>
      <c r="L11" s="134" t="s">
        <v>327</v>
      </c>
      <c r="M11" s="134" t="s">
        <v>327</v>
      </c>
      <c r="N11" s="130" t="s">
        <v>327</v>
      </c>
      <c r="O11" s="36"/>
      <c r="P11" s="104" t="s">
        <v>327</v>
      </c>
      <c r="Q11" s="17"/>
      <c r="R11" s="117" t="s">
        <v>429</v>
      </c>
    </row>
    <row r="12" spans="1:18">
      <c r="A12" s="20"/>
      <c r="B12" s="21"/>
      <c r="C12" s="94" t="s">
        <v>193</v>
      </c>
      <c r="D12" s="136" t="s">
        <v>317</v>
      </c>
      <c r="E12" s="137" t="s">
        <v>320</v>
      </c>
      <c r="F12" s="121" t="s">
        <v>317</v>
      </c>
      <c r="G12" s="123" t="s">
        <v>317</v>
      </c>
      <c r="H12" s="122" t="s">
        <v>317</v>
      </c>
      <c r="I12" s="121" t="s">
        <v>317</v>
      </c>
      <c r="J12" s="123" t="s">
        <v>317</v>
      </c>
      <c r="K12" s="123" t="s">
        <v>317</v>
      </c>
      <c r="L12" s="123" t="s">
        <v>317</v>
      </c>
      <c r="M12" s="123" t="s">
        <v>317</v>
      </c>
      <c r="N12" s="124" t="s">
        <v>317</v>
      </c>
      <c r="O12" s="36"/>
      <c r="P12" s="104" t="s">
        <v>317</v>
      </c>
      <c r="Q12" s="17"/>
      <c r="R12" s="117" t="s">
        <v>431</v>
      </c>
    </row>
    <row r="13" spans="1:18">
      <c r="A13" s="20"/>
      <c r="B13" s="21"/>
      <c r="C13" s="89" t="s">
        <v>194</v>
      </c>
      <c r="D13" s="138" t="s">
        <v>338</v>
      </c>
      <c r="E13" s="138" t="s">
        <v>338</v>
      </c>
      <c r="F13" s="133" t="s">
        <v>336</v>
      </c>
      <c r="G13" s="139" t="s">
        <v>336</v>
      </c>
      <c r="H13" s="135" t="s">
        <v>336</v>
      </c>
      <c r="I13" s="138" t="s">
        <v>336</v>
      </c>
      <c r="J13" s="139" t="s">
        <v>336</v>
      </c>
      <c r="K13" s="134" t="s">
        <v>336</v>
      </c>
      <c r="L13" s="139" t="s">
        <v>336</v>
      </c>
      <c r="M13" s="139" t="s">
        <v>336</v>
      </c>
      <c r="N13" s="140" t="s">
        <v>336</v>
      </c>
      <c r="O13" s="36"/>
      <c r="P13" s="104" t="s">
        <v>338</v>
      </c>
      <c r="Q13" s="17"/>
      <c r="R13" s="117" t="s">
        <v>426</v>
      </c>
    </row>
    <row r="14" spans="1:18">
      <c r="A14" s="20"/>
      <c r="B14" s="21"/>
      <c r="C14" s="89" t="s">
        <v>195</v>
      </c>
      <c r="D14" s="138" t="s">
        <v>312</v>
      </c>
      <c r="E14" s="141" t="s">
        <v>312</v>
      </c>
      <c r="F14" s="133" t="s">
        <v>328</v>
      </c>
      <c r="G14" s="134" t="s">
        <v>328</v>
      </c>
      <c r="H14" s="135" t="s">
        <v>312</v>
      </c>
      <c r="I14" s="133" t="s">
        <v>312</v>
      </c>
      <c r="J14" s="134" t="s">
        <v>328</v>
      </c>
      <c r="K14" s="134" t="s">
        <v>312</v>
      </c>
      <c r="L14" s="134" t="s">
        <v>328</v>
      </c>
      <c r="M14" s="134" t="s">
        <v>312</v>
      </c>
      <c r="N14" s="130" t="s">
        <v>312</v>
      </c>
      <c r="O14" s="36"/>
      <c r="P14" s="104" t="s">
        <v>328</v>
      </c>
      <c r="Q14" s="17"/>
      <c r="R14" s="117" t="s">
        <v>427</v>
      </c>
    </row>
    <row r="15" spans="1:18">
      <c r="A15" s="20"/>
      <c r="B15" s="21"/>
      <c r="C15" s="89" t="s">
        <v>196</v>
      </c>
      <c r="D15" s="138" t="s">
        <v>330</v>
      </c>
      <c r="E15" s="141" t="s">
        <v>330</v>
      </c>
      <c r="F15" s="133" t="s">
        <v>330</v>
      </c>
      <c r="G15" s="134" t="s">
        <v>330</v>
      </c>
      <c r="H15" s="135" t="s">
        <v>330</v>
      </c>
      <c r="I15" s="133" t="s">
        <v>331</v>
      </c>
      <c r="J15" s="134" t="s">
        <v>330</v>
      </c>
      <c r="K15" s="134" t="s">
        <v>330</v>
      </c>
      <c r="L15" s="134" t="s">
        <v>331</v>
      </c>
      <c r="M15" s="134" t="s">
        <v>331</v>
      </c>
      <c r="N15" s="130" t="s">
        <v>330</v>
      </c>
      <c r="O15" s="36"/>
      <c r="P15" s="104" t="s">
        <v>330</v>
      </c>
      <c r="Q15" s="17"/>
      <c r="R15" s="117" t="s">
        <v>423</v>
      </c>
    </row>
    <row r="16" spans="1:18">
      <c r="A16" s="20"/>
      <c r="B16" s="21"/>
      <c r="C16" s="89" t="s">
        <v>197</v>
      </c>
      <c r="D16" s="138" t="s">
        <v>334</v>
      </c>
      <c r="E16" s="141" t="s">
        <v>337</v>
      </c>
      <c r="F16" s="133" t="s">
        <v>334</v>
      </c>
      <c r="G16" s="134" t="s">
        <v>337</v>
      </c>
      <c r="H16" s="134" t="s">
        <v>334</v>
      </c>
      <c r="I16" s="133" t="s">
        <v>337</v>
      </c>
      <c r="J16" s="134" t="s">
        <v>334</v>
      </c>
      <c r="K16" s="134" t="s">
        <v>334</v>
      </c>
      <c r="L16" s="134" t="s">
        <v>334</v>
      </c>
      <c r="M16" s="134" t="s">
        <v>334</v>
      </c>
      <c r="N16" s="130" t="s">
        <v>334</v>
      </c>
      <c r="O16" s="36"/>
      <c r="P16" s="104" t="s">
        <v>334</v>
      </c>
      <c r="Q16" s="17"/>
      <c r="R16" s="117" t="s">
        <v>430</v>
      </c>
    </row>
    <row r="17" spans="1:18">
      <c r="A17" s="20"/>
      <c r="B17" s="21"/>
      <c r="C17" s="89" t="s">
        <v>198</v>
      </c>
      <c r="D17" s="138" t="s">
        <v>333</v>
      </c>
      <c r="E17" s="141" t="s">
        <v>333</v>
      </c>
      <c r="F17" s="133" t="s">
        <v>333</v>
      </c>
      <c r="G17" s="134" t="s">
        <v>333</v>
      </c>
      <c r="H17" s="135" t="s">
        <v>333</v>
      </c>
      <c r="I17" s="133" t="s">
        <v>333</v>
      </c>
      <c r="J17" s="134" t="s">
        <v>333</v>
      </c>
      <c r="K17" s="134" t="s">
        <v>333</v>
      </c>
      <c r="L17" s="134" t="s">
        <v>333</v>
      </c>
      <c r="M17" s="134" t="s">
        <v>317</v>
      </c>
      <c r="N17" s="130" t="s">
        <v>317</v>
      </c>
      <c r="O17" s="36"/>
      <c r="P17" s="104" t="s">
        <v>333</v>
      </c>
      <c r="Q17" s="17"/>
      <c r="R17" s="117" t="s">
        <v>432</v>
      </c>
    </row>
    <row r="18" spans="1:18">
      <c r="A18" s="20"/>
      <c r="B18" s="21"/>
      <c r="C18" s="89" t="s">
        <v>199</v>
      </c>
      <c r="D18" s="138" t="s">
        <v>309</v>
      </c>
      <c r="E18" s="141" t="s">
        <v>309</v>
      </c>
      <c r="F18" s="133" t="s">
        <v>309</v>
      </c>
      <c r="G18" s="134" t="s">
        <v>309</v>
      </c>
      <c r="H18" s="135" t="s">
        <v>309</v>
      </c>
      <c r="I18" s="133" t="s">
        <v>309</v>
      </c>
      <c r="J18" s="134" t="s">
        <v>309</v>
      </c>
      <c r="K18" s="134" t="s">
        <v>309</v>
      </c>
      <c r="L18" s="134" t="s">
        <v>309</v>
      </c>
      <c r="M18" s="134" t="s">
        <v>309</v>
      </c>
      <c r="N18" s="130" t="s">
        <v>309</v>
      </c>
      <c r="O18" s="36"/>
      <c r="P18" s="104" t="s">
        <v>309</v>
      </c>
      <c r="Q18" s="17"/>
      <c r="R18" s="117" t="s">
        <v>428</v>
      </c>
    </row>
    <row r="19" spans="1:18">
      <c r="A19" s="20"/>
      <c r="B19" s="21"/>
      <c r="C19" s="89" t="s">
        <v>200</v>
      </c>
      <c r="D19" s="138" t="s">
        <v>316</v>
      </c>
      <c r="E19" s="141" t="s">
        <v>321</v>
      </c>
      <c r="F19" s="138" t="s">
        <v>316</v>
      </c>
      <c r="G19" s="139" t="s">
        <v>321</v>
      </c>
      <c r="H19" s="139" t="s">
        <v>321</v>
      </c>
      <c r="I19" s="138" t="s">
        <v>316</v>
      </c>
      <c r="J19" s="139" t="s">
        <v>321</v>
      </c>
      <c r="K19" s="139" t="s">
        <v>316</v>
      </c>
      <c r="L19" s="139" t="s">
        <v>316</v>
      </c>
      <c r="M19" s="139" t="s">
        <v>321</v>
      </c>
      <c r="N19" s="140" t="s">
        <v>321</v>
      </c>
      <c r="O19" s="36"/>
      <c r="P19" s="104" t="s">
        <v>316</v>
      </c>
      <c r="Q19" s="17"/>
      <c r="R19" s="117" t="s">
        <v>433</v>
      </c>
    </row>
    <row r="20" spans="1:18">
      <c r="A20" s="20"/>
      <c r="B20" s="21"/>
      <c r="C20" s="89" t="s">
        <v>201</v>
      </c>
      <c r="D20" s="138" t="s">
        <v>314</v>
      </c>
      <c r="E20" s="141" t="s">
        <v>314</v>
      </c>
      <c r="F20" s="133" t="s">
        <v>314</v>
      </c>
      <c r="G20" s="134" t="s">
        <v>314</v>
      </c>
      <c r="H20" s="135" t="s">
        <v>314</v>
      </c>
      <c r="I20" s="133" t="s">
        <v>314</v>
      </c>
      <c r="J20" s="134" t="s">
        <v>314</v>
      </c>
      <c r="K20" s="134" t="s">
        <v>314</v>
      </c>
      <c r="L20" s="134" t="s">
        <v>314</v>
      </c>
      <c r="M20" s="134" t="s">
        <v>314</v>
      </c>
      <c r="N20" s="130" t="s">
        <v>314</v>
      </c>
      <c r="O20" s="36"/>
      <c r="P20" s="104" t="s">
        <v>324</v>
      </c>
      <c r="Q20" s="17"/>
      <c r="R20" s="117" t="s">
        <v>434</v>
      </c>
    </row>
    <row r="21" spans="1:18">
      <c r="A21" s="20"/>
      <c r="B21" s="21"/>
      <c r="C21" s="89" t="s">
        <v>202</v>
      </c>
      <c r="D21" s="138" t="s">
        <v>311</v>
      </c>
      <c r="E21" s="141" t="s">
        <v>311</v>
      </c>
      <c r="F21" s="133" t="s">
        <v>311</v>
      </c>
      <c r="G21" s="134" t="s">
        <v>315</v>
      </c>
      <c r="H21" s="135" t="s">
        <v>311</v>
      </c>
      <c r="I21" s="133" t="s">
        <v>311</v>
      </c>
      <c r="J21" s="134" t="s">
        <v>311</v>
      </c>
      <c r="K21" s="134" t="s">
        <v>311</v>
      </c>
      <c r="L21" s="134" t="s">
        <v>311</v>
      </c>
      <c r="M21" s="134" t="s">
        <v>311</v>
      </c>
      <c r="N21" s="130" t="s">
        <v>311</v>
      </c>
      <c r="O21" s="36"/>
      <c r="P21" s="104" t="s">
        <v>315</v>
      </c>
      <c r="Q21" s="17"/>
      <c r="R21" s="117" t="s">
        <v>435</v>
      </c>
    </row>
    <row r="22" spans="1:18" ht="16" thickBot="1">
      <c r="A22" s="20"/>
      <c r="B22" s="21"/>
      <c r="C22" s="99"/>
      <c r="D22" s="142"/>
      <c r="E22" s="143"/>
      <c r="F22" s="144"/>
      <c r="G22" s="145"/>
      <c r="H22" s="146"/>
      <c r="I22" s="144"/>
      <c r="J22" s="145"/>
      <c r="K22" s="145"/>
      <c r="L22" s="145"/>
      <c r="M22" s="145"/>
      <c r="N22" s="147"/>
      <c r="O22" s="36"/>
      <c r="P22" s="105"/>
      <c r="Q22" s="17"/>
      <c r="R22" s="118"/>
    </row>
    <row r="23" spans="1:18" ht="16" thickTop="1">
      <c r="A23" s="20"/>
      <c r="B23" s="6"/>
      <c r="C23" s="37"/>
      <c r="D23" s="38"/>
      <c r="E23" s="39"/>
      <c r="F23" s="38"/>
      <c r="G23" s="38"/>
      <c r="H23" s="40"/>
      <c r="I23" s="38"/>
      <c r="J23" s="38"/>
      <c r="K23" s="38"/>
      <c r="L23" s="38"/>
      <c r="M23" s="38"/>
      <c r="N23" s="38"/>
      <c r="O23" s="36"/>
      <c r="P23" s="41" t="s">
        <v>16</v>
      </c>
      <c r="Q23" s="17"/>
      <c r="R23" s="2"/>
    </row>
    <row r="24" spans="1:18">
      <c r="A24" s="20"/>
      <c r="B24" s="6"/>
      <c r="C24" s="42" t="s">
        <v>15</v>
      </c>
      <c r="D24" s="82">
        <v>96</v>
      </c>
      <c r="E24" s="107">
        <v>88</v>
      </c>
      <c r="F24" s="82">
        <v>94</v>
      </c>
      <c r="G24" s="82">
        <v>75</v>
      </c>
      <c r="H24" s="83">
        <v>118</v>
      </c>
      <c r="I24" s="82">
        <v>73</v>
      </c>
      <c r="J24" s="82">
        <v>85</v>
      </c>
      <c r="K24" s="82">
        <v>86</v>
      </c>
      <c r="L24" s="82">
        <v>79</v>
      </c>
      <c r="M24" s="82">
        <v>73</v>
      </c>
      <c r="N24" s="82">
        <v>93</v>
      </c>
      <c r="O24" s="36"/>
      <c r="P24" s="106">
        <v>87</v>
      </c>
      <c r="Q24" s="17"/>
      <c r="R24" s="2"/>
    </row>
    <row r="25" spans="1:18">
      <c r="A25" s="20"/>
      <c r="B25" s="6"/>
      <c r="C25" s="43"/>
      <c r="D25" s="38"/>
      <c r="E25" s="39"/>
      <c r="F25" s="38"/>
      <c r="G25" s="38"/>
      <c r="H25" s="40"/>
      <c r="I25" s="38"/>
      <c r="J25" s="38"/>
      <c r="K25" s="38"/>
      <c r="L25" s="38"/>
      <c r="M25" s="38"/>
      <c r="N25" s="38"/>
      <c r="O25" s="36"/>
      <c r="P25" s="36"/>
      <c r="Q25" s="17"/>
      <c r="R25" s="2"/>
    </row>
    <row r="26" spans="1:18">
      <c r="A26" s="20"/>
      <c r="B26" s="6"/>
      <c r="C26" s="44" t="s">
        <v>13</v>
      </c>
      <c r="D26" s="45" t="str" cm="1">
        <f t="array" ref="D26">SUMPRODUCT(--(D7:D22=$P$7:$P$22), --($P$7:$P$22&lt;&gt;"")) &amp; "-" &amp; SUMPRODUCT(--(D7:D22&lt;&gt;$P$7:$P$22), --($P$7:$P$22&lt;&gt;""))</f>
        <v>10-5</v>
      </c>
      <c r="E26" s="46" t="str" cm="1">
        <f t="array" ref="E26">SUMPRODUCT(--(E7:E22=$P$7:$P$22), --($P$7:$P$22&lt;&gt;"")) &amp; "-" &amp; SUMPRODUCT(--(E7:E22&lt;&gt;$P$7:$P$22), --($P$7:$P$22&lt;&gt;""))</f>
        <v>8-7</v>
      </c>
      <c r="F26" s="45" t="str" cm="1">
        <f t="array" ref="F26">SUMPRODUCT(--(F7:F22=$P$7:$P$22), --($P$7:$P$22&lt;&gt;"")) &amp; "-" &amp; SUMPRODUCT(--(F7:F22&lt;&gt;$P$7:$P$22), --($P$7:$P$22&lt;&gt;""))</f>
        <v>11-4</v>
      </c>
      <c r="G26" s="45" t="str" cm="1">
        <f t="array" ref="G26">SUMPRODUCT(--(G7:G22=$P$7:$P$22), --($P$7:$P$22&lt;&gt;"")) &amp; "-" &amp; SUMPRODUCT(--(G7:G22&lt;&gt;$P$7:$P$22), --($P$7:$P$22&lt;&gt;""))</f>
        <v>10-5</v>
      </c>
      <c r="H26" s="47" t="str" cm="1">
        <f t="array" ref="H26">SUMPRODUCT(--(H7:H22=$P$7:$P$22), --($P$7:$P$22&lt;&gt;"")) &amp; "-" &amp; SUMPRODUCT(--(H7:H22&lt;&gt;$P$7:$P$22), --($P$7:$P$22&lt;&gt;""))</f>
        <v>9-6</v>
      </c>
      <c r="I26" s="45" t="str" cm="1">
        <f t="array" ref="I26">SUMPRODUCT(--(I7:I22=$P$7:$P$22), --($P$7:$P$22&lt;&gt;"")) &amp; "-" &amp; SUMPRODUCT(--(I7:I22&lt;&gt;$P$7:$P$22), --($P$7:$P$22&lt;&gt;""))</f>
        <v>8-7</v>
      </c>
      <c r="J26" s="45" t="str" cm="1">
        <f t="array" ref="J26">SUMPRODUCT(--(J7:J22=$P$7:$P$22), --($P$7:$P$22&lt;&gt;"")) &amp; "-" &amp; SUMPRODUCT(--(J7:J22&lt;&gt;$P$7:$P$22), --($P$7:$P$22&lt;&gt;""))</f>
        <v>10-5</v>
      </c>
      <c r="K26" s="45" t="str" cm="1">
        <f t="array" ref="K26">SUMPRODUCT(--(K7:K22=$P$7:$P$22), --($P$7:$P$22&lt;&gt;"")) &amp; "-" &amp; SUMPRODUCT(--(K7:K22&lt;&gt;$P$7:$P$22), --($P$7:$P$22&lt;&gt;""))</f>
        <v>10-5</v>
      </c>
      <c r="L26" s="45" t="str" cm="1">
        <f t="array" ref="L26">SUMPRODUCT(--(L7:L22=$P$7:$P$22), --($P$7:$P$22&lt;&gt;"")) &amp; "-" &amp; SUMPRODUCT(--(L7:L22&lt;&gt;$P$7:$P$22), --($P$7:$P$22&lt;&gt;""))</f>
        <v>10-5</v>
      </c>
      <c r="M26" s="45" t="str" cm="1">
        <f t="array" ref="M26">SUMPRODUCT(--(M7:M22=$P$7:$P$22), --($P$7:$P$22&lt;&gt;"")) &amp; "-" &amp; SUMPRODUCT(--(M7:M22&lt;&gt;$P$7:$P$22), --($P$7:$P$22&lt;&gt;""))</f>
        <v>7-8</v>
      </c>
      <c r="N26" s="45" t="str" cm="1">
        <f t="array" ref="N26">SUMPRODUCT(--(N7:N22=$P$7:$P$22), --($P$7:$P$22&lt;&gt;"")) &amp; "-" &amp; SUMPRODUCT(--(N7:N22&lt;&gt;$P$7:$P$22), --($P$7:$P$22&lt;&gt;""))</f>
        <v>8-7</v>
      </c>
      <c r="O26" s="36"/>
      <c r="P26" s="36"/>
      <c r="Q26" s="17"/>
      <c r="R26" s="2"/>
    </row>
    <row r="27" spans="1:18">
      <c r="A27" s="20"/>
      <c r="B27" s="6"/>
      <c r="C27" s="7"/>
      <c r="D27" s="11">
        <f>VALUE(LEFT(D26,FIND("-",D26)-1)) - VALUE(MID(D26,FIND("-",D26)+1,LEN(D26)-FIND("-",D26)))</f>
        <v>5</v>
      </c>
      <c r="E27" s="11">
        <f t="shared" ref="E27:N27" si="0">VALUE(LEFT(E26,FIND("-",E26)-1)) - VALUE(MID(E26,FIND("-",E26)+1,LEN(E26)-FIND("-",E26)))</f>
        <v>1</v>
      </c>
      <c r="F27" s="11">
        <f t="shared" si="0"/>
        <v>7</v>
      </c>
      <c r="G27" s="11">
        <f t="shared" si="0"/>
        <v>5</v>
      </c>
      <c r="H27" s="11">
        <f t="shared" si="0"/>
        <v>3</v>
      </c>
      <c r="I27" s="11">
        <f t="shared" si="0"/>
        <v>1</v>
      </c>
      <c r="J27" s="11">
        <f t="shared" si="0"/>
        <v>5</v>
      </c>
      <c r="K27" s="11">
        <f t="shared" si="0"/>
        <v>5</v>
      </c>
      <c r="L27" s="11">
        <f t="shared" si="0"/>
        <v>5</v>
      </c>
      <c r="M27" s="11">
        <f t="shared" si="0"/>
        <v>-1</v>
      </c>
      <c r="N27" s="11">
        <f t="shared" si="0"/>
        <v>1</v>
      </c>
      <c r="O27" s="6"/>
      <c r="P27" s="6"/>
      <c r="Q27" s="17"/>
      <c r="R27" s="2"/>
    </row>
    <row r="28" spans="1:18" ht="24" customHeight="1">
      <c r="A28" s="20"/>
      <c r="B28" s="12"/>
      <c r="C28" s="199" t="s">
        <v>17</v>
      </c>
      <c r="D28" s="200"/>
      <c r="E28" s="201" t="str" cm="1">
        <f t="array" ref="E28">IF(P24="", "",
   _xlfn.LET(
      _xlpm.scores, D27:N27,
      _xlpm.names, D5:N5,
      _xlpm.tiebreaks, D24:N24,
      _xlpm.guesses, D26:N26,
      _xlpm.maxScore, MAX(_xlpm.scores),
      _xlpm.topScorers, IF(_xlpm.scores=_xlpm.maxScore, 1, 0),
      _xlpm.tiebreakDiffs, IF(_xlpm.topScorers, ABS(_xlpm.tiebreaks - P24), ""),
      _xlpm.minDiff, MIN(IF(_xlpm.tiebreakDiffs&lt;&gt;"", _xlpm.tiebreakDiffs)),
      _xlpm.winners, IF((_xlpm.scores=_xlpm.maxScore)*(ABS(_xlpm.tiebreaks - P24)=_xlpm.minDiff), _xlpm.names, ""),
      _xlpm.guessMatch, INDEX(_xlpm.guesses, MATCH(1, (_xlpm.scores=_xlpm.maxScore)*(ABS(_xlpm.tiebreaks - P24)=_xlpm.minDiff), 0)),
      _xlpm.winnerList, _xlfn.TEXTJOIN(", ", TRUE, _xlpm.winners),
      IF(COUNTA(_xlfn._xlws.FILTER(_xlpm.winners, _xlpm.winners&lt;&gt;""))=1,
         _xlpm.winnerList &amp; " (" &amp; _xlpm.guessMatch &amp; ")",
         _xlpm.winnerList
      )
   )
)</f>
        <v>Susan (11-4)</v>
      </c>
      <c r="F28" s="202"/>
      <c r="G28" s="203"/>
      <c r="H28" s="6"/>
      <c r="I28" s="6"/>
      <c r="J28" s="6"/>
      <c r="K28" s="6"/>
      <c r="L28" s="6"/>
      <c r="M28" s="6"/>
      <c r="N28" s="6"/>
      <c r="O28" s="6"/>
      <c r="P28" s="6"/>
      <c r="Q28" s="17"/>
    </row>
    <row r="29" spans="1:18" ht="15" customHeight="1" thickBot="1">
      <c r="A29" s="20"/>
      <c r="B29" s="22"/>
      <c r="C29" s="32"/>
      <c r="D29" s="32"/>
      <c r="E29" s="33"/>
      <c r="F29" s="33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5"/>
    </row>
    <row r="30" spans="1:18" ht="16" thickTop="1">
      <c r="D30" s="1"/>
    </row>
    <row r="35" spans="9:9" ht="16" thickBot="1"/>
    <row r="36" spans="9:9" ht="16" thickTop="1">
      <c r="I36" s="13"/>
    </row>
  </sheetData>
  <sheetProtection selectLockedCells="1"/>
  <customSheetViews>
    <customSheetView guid="{096EED88-6BAE-D941-AE0E-0C5B75B09829}" fitToPage="1">
      <selection activeCell="E29" sqref="E29"/>
      <pageMargins left="0.7" right="0.7" top="0.75" bottom="0.75" header="0.3" footer="0.3"/>
      <pageSetup scale="65" orientation="landscape" r:id="rId1"/>
    </customSheetView>
  </customSheetViews>
  <mergeCells count="17">
    <mergeCell ref="C3:P3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  <mergeCell ref="N5:N6"/>
    <mergeCell ref="P5:P6"/>
    <mergeCell ref="R5:R6"/>
    <mergeCell ref="C28:D28"/>
    <mergeCell ref="E28:G28"/>
  </mergeCells>
  <conditionalFormatting sqref="D26:N26">
    <cfRule type="expression" dxfId="54" priority="15">
      <formula>AND(--LEFT(D26,FIND("-",D26)-1) = MAX(--LEFT($D$26:$N$26,FIND("-",$D$26:$N$26)-1)), COUNTIF($D$26:$N$26, MAX(--LEFT($D$26:$N$26,FIND("-",$D$26:$N$26)-1)) &amp; "-*") &gt; 1)</formula>
    </cfRule>
    <cfRule type="expression" dxfId="53" priority="16">
      <formula>AND(--LEFT(D26,FIND("-",D26)-1) = MAX(--LEFT($D$26:$N$26,FIND("-",$D$26:$N$26)-1)), COUNTIF($D$26:$N$26, MAX(--LEFT($D$26:$N$26,FIND("-",$D$26:$N$26)-1)) &amp; "-*") = 1)</formula>
    </cfRule>
  </conditionalFormatting>
  <conditionalFormatting sqref="D7:N12 D14:N18 D13:M13 D20:N22 D19:M19">
    <cfRule type="expression" dxfId="52" priority="6">
      <formula>AND($P7=D7, $P7&lt;&gt;"")</formula>
    </cfRule>
    <cfRule type="expression" dxfId="51" priority="7">
      <formula>AND($P7&lt;&gt;D7, $P7&lt;&gt;"")</formula>
    </cfRule>
  </conditionalFormatting>
  <conditionalFormatting sqref="N13">
    <cfRule type="expression" dxfId="50" priority="4">
      <formula>AND($P13=N13, $P13&lt;&gt;"")</formula>
    </cfRule>
    <cfRule type="expression" dxfId="49" priority="5">
      <formula>AND($P13&lt;&gt;N13, $P13&lt;&gt;"")</formula>
    </cfRule>
  </conditionalFormatting>
  <conditionalFormatting sqref="N19">
    <cfRule type="expression" dxfId="48" priority="2">
      <formula>AND($P19=N19, $P19&lt;&gt;"")</formula>
    </cfRule>
    <cfRule type="expression" dxfId="47" priority="3">
      <formula>AND($P19&lt;&gt;N19, $P19&lt;&gt;"")</formula>
    </cfRule>
  </conditionalFormatting>
  <conditionalFormatting sqref="D7:N22">
    <cfRule type="expression" dxfId="46" priority="1">
      <formula>$P7="TIE"</formula>
    </cfRule>
  </conditionalFormatting>
  <pageMargins left="0.7" right="0.7" top="0.75" bottom="0.75" header="0.3" footer="0.3"/>
  <pageSetup scale="65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UpdateCurrentSheet">
                <anchor moveWithCells="1" sizeWithCells="1">
                  <from>
                    <xdr:col>17</xdr:col>
                    <xdr:colOff>635000</xdr:colOff>
                    <xdr:row>2</xdr:row>
                    <xdr:rowOff>25400</xdr:rowOff>
                  </from>
                  <to>
                    <xdr:col>17</xdr:col>
                    <xdr:colOff>1282700</xdr:colOff>
                    <xdr:row>2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93BB5C-4461-46A0-9D60-4F23CF22E281}">
  <sheetPr codeName="Sheet5">
    <pageSetUpPr fitToPage="1"/>
  </sheetPr>
  <dimension ref="A2:R36"/>
  <sheetViews>
    <sheetView workbookViewId="0">
      <selection activeCell="E29" sqref="E29"/>
    </sheetView>
  </sheetViews>
  <sheetFormatPr baseColWidth="10" defaultColWidth="8.83203125" defaultRowHeight="15"/>
  <cols>
    <col min="2" max="2" width="1.6640625" customWidth="1"/>
    <col min="3" max="3" width="11.6640625" style="1" bestFit="1" customWidth="1"/>
    <col min="4" max="14" width="13.1640625" customWidth="1"/>
    <col min="15" max="15" width="1.6640625" customWidth="1"/>
    <col min="16" max="16" width="15.5" bestFit="1" customWidth="1"/>
    <col min="17" max="17" width="1.6640625" customWidth="1"/>
    <col min="18" max="18" width="26.1640625" customWidth="1"/>
    <col min="19" max="19" width="1.6640625" customWidth="1"/>
  </cols>
  <sheetData>
    <row r="2" spans="1:18" ht="15" customHeight="1" thickBot="1">
      <c r="B2" s="31"/>
      <c r="C2" s="30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</row>
    <row r="3" spans="1:18" ht="32.25" customHeight="1" thickBot="1">
      <c r="B3" s="27"/>
      <c r="C3" s="186" t="s">
        <v>38</v>
      </c>
      <c r="D3" s="186"/>
      <c r="E3" s="186"/>
      <c r="F3" s="186"/>
      <c r="G3" s="186"/>
      <c r="H3" s="186"/>
      <c r="I3" s="186"/>
      <c r="J3" s="186"/>
      <c r="K3" s="186"/>
      <c r="L3" s="186"/>
      <c r="M3" s="186"/>
      <c r="N3" s="186"/>
      <c r="O3" s="186"/>
      <c r="P3" s="186"/>
      <c r="Q3" s="28"/>
    </row>
    <row r="4" spans="1:18" ht="15" customHeight="1" thickBot="1">
      <c r="A4" s="20"/>
      <c r="B4" s="19"/>
      <c r="C4" s="14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6"/>
      <c r="P4" s="6"/>
      <c r="Q4" s="16"/>
      <c r="R4" s="2"/>
    </row>
    <row r="5" spans="1:18" ht="23.25" customHeight="1" thickTop="1">
      <c r="A5" s="20"/>
      <c r="B5" s="6"/>
      <c r="C5" s="187" t="s">
        <v>18</v>
      </c>
      <c r="D5" s="189" t="s">
        <v>14</v>
      </c>
      <c r="E5" s="191" t="s">
        <v>2</v>
      </c>
      <c r="F5" s="193" t="s">
        <v>3</v>
      </c>
      <c r="G5" s="193" t="s">
        <v>4</v>
      </c>
      <c r="H5" s="193" t="s">
        <v>5</v>
      </c>
      <c r="I5" s="189" t="s">
        <v>6</v>
      </c>
      <c r="J5" s="189" t="s">
        <v>7</v>
      </c>
      <c r="K5" s="189" t="s">
        <v>8</v>
      </c>
      <c r="L5" s="191" t="s">
        <v>9</v>
      </c>
      <c r="M5" s="193" t="s">
        <v>10</v>
      </c>
      <c r="N5" s="189" t="s">
        <v>11</v>
      </c>
      <c r="O5" s="6"/>
      <c r="P5" s="195" t="s">
        <v>12</v>
      </c>
      <c r="Q5" s="17"/>
      <c r="R5" s="204" t="s">
        <v>389</v>
      </c>
    </row>
    <row r="6" spans="1:18" ht="8" customHeight="1" thickBot="1">
      <c r="A6" s="20"/>
      <c r="B6" s="6"/>
      <c r="C6" s="188"/>
      <c r="D6" s="190"/>
      <c r="E6" s="192"/>
      <c r="F6" s="194"/>
      <c r="G6" s="194"/>
      <c r="H6" s="194"/>
      <c r="I6" s="190"/>
      <c r="J6" s="190"/>
      <c r="K6" s="190"/>
      <c r="L6" s="192"/>
      <c r="M6" s="194"/>
      <c r="N6" s="190"/>
      <c r="O6" s="6"/>
      <c r="P6" s="196"/>
      <c r="Q6" s="17"/>
      <c r="R6" s="205"/>
    </row>
    <row r="7" spans="1:18" ht="16" thickTop="1">
      <c r="A7" s="20"/>
      <c r="B7" s="21"/>
      <c r="C7" s="81" t="s">
        <v>135</v>
      </c>
      <c r="D7" s="51" t="s">
        <v>327</v>
      </c>
      <c r="E7" s="52" t="s">
        <v>327</v>
      </c>
      <c r="F7" s="53" t="s">
        <v>327</v>
      </c>
      <c r="G7" s="53" t="s">
        <v>327</v>
      </c>
      <c r="H7" s="51" t="s">
        <v>327</v>
      </c>
      <c r="I7" s="53" t="s">
        <v>327</v>
      </c>
      <c r="J7" s="53" t="s">
        <v>327</v>
      </c>
      <c r="K7" s="53" t="s">
        <v>327</v>
      </c>
      <c r="L7" s="53" t="s">
        <v>327</v>
      </c>
      <c r="M7" s="53" t="s">
        <v>327</v>
      </c>
      <c r="N7" s="54" t="s">
        <v>327</v>
      </c>
      <c r="O7" s="36"/>
      <c r="P7" s="56" t="s">
        <v>318</v>
      </c>
      <c r="Q7" s="17"/>
      <c r="R7" s="117" t="s">
        <v>436</v>
      </c>
    </row>
    <row r="8" spans="1:18">
      <c r="A8" s="20"/>
      <c r="B8" s="21"/>
      <c r="C8" s="85" t="s">
        <v>203</v>
      </c>
      <c r="D8" s="57" t="s">
        <v>312</v>
      </c>
      <c r="E8" s="58" t="s">
        <v>312</v>
      </c>
      <c r="F8" s="59" t="s">
        <v>330</v>
      </c>
      <c r="G8" s="59" t="s">
        <v>312</v>
      </c>
      <c r="H8" s="60" t="s">
        <v>330</v>
      </c>
      <c r="I8" s="59" t="s">
        <v>312</v>
      </c>
      <c r="J8" s="59" t="s">
        <v>330</v>
      </c>
      <c r="K8" s="59" t="s">
        <v>312</v>
      </c>
      <c r="L8" s="59" t="s">
        <v>330</v>
      </c>
      <c r="M8" s="59" t="s">
        <v>330</v>
      </c>
      <c r="N8" s="61" t="s">
        <v>330</v>
      </c>
      <c r="O8" s="36"/>
      <c r="P8" s="62" t="s">
        <v>330</v>
      </c>
      <c r="Q8" s="17"/>
      <c r="R8" s="117" t="s">
        <v>437</v>
      </c>
    </row>
    <row r="9" spans="1:18">
      <c r="A9" s="20"/>
      <c r="B9" s="21"/>
      <c r="C9" s="89" t="s">
        <v>204</v>
      </c>
      <c r="D9" s="63" t="s">
        <v>315</v>
      </c>
      <c r="E9" s="64" t="s">
        <v>315</v>
      </c>
      <c r="F9" s="65" t="s">
        <v>315</v>
      </c>
      <c r="G9" s="65" t="s">
        <v>315</v>
      </c>
      <c r="H9" s="66" t="s">
        <v>315</v>
      </c>
      <c r="I9" s="65" t="s">
        <v>326</v>
      </c>
      <c r="J9" s="65" t="s">
        <v>315</v>
      </c>
      <c r="K9" s="65" t="s">
        <v>315</v>
      </c>
      <c r="L9" s="65" t="s">
        <v>315</v>
      </c>
      <c r="M9" s="65" t="s">
        <v>315</v>
      </c>
      <c r="N9" s="61" t="s">
        <v>315</v>
      </c>
      <c r="O9" s="36"/>
      <c r="P9" s="104" t="s">
        <v>315</v>
      </c>
      <c r="Q9" s="17"/>
      <c r="R9" s="117" t="s">
        <v>440</v>
      </c>
    </row>
    <row r="10" spans="1:18">
      <c r="A10" s="20"/>
      <c r="B10" s="21"/>
      <c r="C10" s="89" t="s">
        <v>205</v>
      </c>
      <c r="D10" s="63" t="s">
        <v>325</v>
      </c>
      <c r="E10" s="64" t="s">
        <v>329</v>
      </c>
      <c r="F10" s="65" t="s">
        <v>325</v>
      </c>
      <c r="G10" s="65" t="s">
        <v>329</v>
      </c>
      <c r="H10" s="66" t="s">
        <v>325</v>
      </c>
      <c r="I10" s="65" t="s">
        <v>329</v>
      </c>
      <c r="J10" s="65" t="s">
        <v>329</v>
      </c>
      <c r="K10" s="65" t="s">
        <v>325</v>
      </c>
      <c r="L10" s="65" t="s">
        <v>325</v>
      </c>
      <c r="M10" s="65" t="s">
        <v>325</v>
      </c>
      <c r="N10" s="61" t="s">
        <v>325</v>
      </c>
      <c r="O10" s="36"/>
      <c r="P10" s="104" t="s">
        <v>325</v>
      </c>
      <c r="Q10" s="17"/>
      <c r="R10" s="117" t="s">
        <v>442</v>
      </c>
    </row>
    <row r="11" spans="1:18">
      <c r="A11" s="20"/>
      <c r="B11" s="21"/>
      <c r="C11" s="89" t="s">
        <v>206</v>
      </c>
      <c r="D11" s="63" t="s">
        <v>309</v>
      </c>
      <c r="E11" s="64" t="s">
        <v>309</v>
      </c>
      <c r="F11" s="65" t="s">
        <v>309</v>
      </c>
      <c r="G11" s="65" t="s">
        <v>309</v>
      </c>
      <c r="H11" s="66" t="s">
        <v>309</v>
      </c>
      <c r="I11" s="65" t="s">
        <v>309</v>
      </c>
      <c r="J11" s="65" t="s">
        <v>309</v>
      </c>
      <c r="K11" s="65" t="s">
        <v>309</v>
      </c>
      <c r="L11" s="65" t="s">
        <v>309</v>
      </c>
      <c r="M11" s="65" t="s">
        <v>309</v>
      </c>
      <c r="N11" s="61" t="s">
        <v>309</v>
      </c>
      <c r="O11" s="36"/>
      <c r="P11" s="104" t="s">
        <v>309</v>
      </c>
      <c r="Q11" s="17"/>
      <c r="R11" s="117" t="s">
        <v>438</v>
      </c>
    </row>
    <row r="12" spans="1:18">
      <c r="A12" s="20"/>
      <c r="B12" s="21"/>
      <c r="C12" s="94" t="s">
        <v>73</v>
      </c>
      <c r="D12" s="67" t="s">
        <v>316</v>
      </c>
      <c r="E12" s="68" t="s">
        <v>316</v>
      </c>
      <c r="F12" s="53" t="s">
        <v>316</v>
      </c>
      <c r="G12" s="53" t="s">
        <v>316</v>
      </c>
      <c r="H12" s="51" t="s">
        <v>316</v>
      </c>
      <c r="I12" s="53" t="s">
        <v>316</v>
      </c>
      <c r="J12" s="53" t="s">
        <v>316</v>
      </c>
      <c r="K12" s="53" t="s">
        <v>316</v>
      </c>
      <c r="L12" s="53" t="s">
        <v>316</v>
      </c>
      <c r="M12" s="53" t="s">
        <v>316</v>
      </c>
      <c r="N12" s="54" t="s">
        <v>316</v>
      </c>
      <c r="O12" s="36"/>
      <c r="P12" s="104" t="s">
        <v>316</v>
      </c>
      <c r="Q12" s="17"/>
      <c r="R12" s="117" t="s">
        <v>439</v>
      </c>
    </row>
    <row r="13" spans="1:18">
      <c r="A13" s="20"/>
      <c r="B13" s="21"/>
      <c r="C13" s="89" t="s">
        <v>207</v>
      </c>
      <c r="D13" s="69" t="s">
        <v>307</v>
      </c>
      <c r="E13" s="70" t="s">
        <v>332</v>
      </c>
      <c r="F13" s="65" t="s">
        <v>307</v>
      </c>
      <c r="G13" s="65" t="s">
        <v>332</v>
      </c>
      <c r="H13" s="66" t="s">
        <v>332</v>
      </c>
      <c r="I13" s="65" t="s">
        <v>307</v>
      </c>
      <c r="J13" s="65" t="s">
        <v>307</v>
      </c>
      <c r="K13" s="65" t="s">
        <v>332</v>
      </c>
      <c r="L13" s="65" t="s">
        <v>332</v>
      </c>
      <c r="M13" s="65" t="s">
        <v>307</v>
      </c>
      <c r="N13" s="61" t="s">
        <v>307</v>
      </c>
      <c r="O13" s="36"/>
      <c r="P13" s="104" t="s">
        <v>307</v>
      </c>
      <c r="Q13" s="17"/>
      <c r="R13" s="117" t="s">
        <v>443</v>
      </c>
    </row>
    <row r="14" spans="1:18">
      <c r="A14" s="20"/>
      <c r="B14" s="21"/>
      <c r="C14" s="89" t="s">
        <v>208</v>
      </c>
      <c r="D14" s="69" t="s">
        <v>310</v>
      </c>
      <c r="E14" s="70" t="s">
        <v>338</v>
      </c>
      <c r="F14" s="65" t="s">
        <v>338</v>
      </c>
      <c r="G14" s="65" t="s">
        <v>338</v>
      </c>
      <c r="H14" s="66" t="s">
        <v>338</v>
      </c>
      <c r="I14" s="65" t="s">
        <v>338</v>
      </c>
      <c r="J14" s="65" t="s">
        <v>310</v>
      </c>
      <c r="K14" s="65" t="s">
        <v>338</v>
      </c>
      <c r="L14" s="65" t="s">
        <v>338</v>
      </c>
      <c r="M14" s="65" t="s">
        <v>338</v>
      </c>
      <c r="N14" s="61" t="s">
        <v>338</v>
      </c>
      <c r="O14" s="36"/>
      <c r="P14" s="104" t="s">
        <v>338</v>
      </c>
      <c r="Q14" s="17"/>
      <c r="R14" s="117" t="s">
        <v>441</v>
      </c>
    </row>
    <row r="15" spans="1:18">
      <c r="A15" s="20"/>
      <c r="B15" s="21"/>
      <c r="C15" s="89" t="s">
        <v>209</v>
      </c>
      <c r="D15" s="69" t="s">
        <v>313</v>
      </c>
      <c r="E15" s="70" t="s">
        <v>313</v>
      </c>
      <c r="F15" s="65" t="s">
        <v>313</v>
      </c>
      <c r="G15" s="65" t="s">
        <v>313</v>
      </c>
      <c r="H15" s="66" t="s">
        <v>313</v>
      </c>
      <c r="I15" s="65" t="s">
        <v>313</v>
      </c>
      <c r="J15" s="65" t="s">
        <v>313</v>
      </c>
      <c r="K15" s="65" t="s">
        <v>313</v>
      </c>
      <c r="L15" s="65" t="s">
        <v>313</v>
      </c>
      <c r="M15" s="65" t="s">
        <v>313</v>
      </c>
      <c r="N15" s="61" t="s">
        <v>313</v>
      </c>
      <c r="O15" s="36"/>
      <c r="P15" s="104" t="s">
        <v>313</v>
      </c>
      <c r="Q15" s="17"/>
      <c r="R15" s="117" t="s">
        <v>444</v>
      </c>
    </row>
    <row r="16" spans="1:18">
      <c r="A16" s="20"/>
      <c r="B16" s="21"/>
      <c r="C16" s="89" t="s">
        <v>210</v>
      </c>
      <c r="D16" s="69" t="s">
        <v>323</v>
      </c>
      <c r="E16" s="70" t="s">
        <v>308</v>
      </c>
      <c r="F16" s="65" t="s">
        <v>308</v>
      </c>
      <c r="G16" s="65" t="s">
        <v>308</v>
      </c>
      <c r="H16" s="66" t="s">
        <v>308</v>
      </c>
      <c r="I16" s="65" t="s">
        <v>308</v>
      </c>
      <c r="J16" s="65" t="s">
        <v>323</v>
      </c>
      <c r="K16" s="65" t="s">
        <v>308</v>
      </c>
      <c r="L16" s="65" t="s">
        <v>323</v>
      </c>
      <c r="M16" s="65" t="s">
        <v>308</v>
      </c>
      <c r="N16" s="61" t="s">
        <v>323</v>
      </c>
      <c r="O16" s="36"/>
      <c r="P16" s="104" t="s">
        <v>308</v>
      </c>
      <c r="Q16" s="17"/>
      <c r="R16" s="117" t="s">
        <v>445</v>
      </c>
    </row>
    <row r="17" spans="1:18">
      <c r="A17" s="20"/>
      <c r="B17" s="21"/>
      <c r="C17" s="89" t="s">
        <v>87</v>
      </c>
      <c r="D17" s="69" t="s">
        <v>311</v>
      </c>
      <c r="E17" s="70" t="s">
        <v>336</v>
      </c>
      <c r="F17" s="65" t="s">
        <v>336</v>
      </c>
      <c r="G17" s="65" t="s">
        <v>311</v>
      </c>
      <c r="H17" s="66" t="s">
        <v>336</v>
      </c>
      <c r="I17" s="65" t="s">
        <v>311</v>
      </c>
      <c r="J17" s="65" t="s">
        <v>336</v>
      </c>
      <c r="K17" s="65" t="s">
        <v>311</v>
      </c>
      <c r="L17" s="65" t="s">
        <v>336</v>
      </c>
      <c r="M17" s="65" t="s">
        <v>311</v>
      </c>
      <c r="N17" s="61" t="s">
        <v>311</v>
      </c>
      <c r="O17" s="36"/>
      <c r="P17" s="104" t="s">
        <v>336</v>
      </c>
      <c r="Q17" s="17"/>
      <c r="R17" s="117" t="s">
        <v>446</v>
      </c>
    </row>
    <row r="18" spans="1:18">
      <c r="A18" s="20"/>
      <c r="B18" s="21"/>
      <c r="C18" s="89" t="s">
        <v>60</v>
      </c>
      <c r="D18" s="69" t="s">
        <v>333</v>
      </c>
      <c r="E18" s="70" t="s">
        <v>319</v>
      </c>
      <c r="F18" s="65" t="s">
        <v>333</v>
      </c>
      <c r="G18" s="65" t="s">
        <v>333</v>
      </c>
      <c r="H18" s="66" t="s">
        <v>333</v>
      </c>
      <c r="I18" s="65" t="s">
        <v>319</v>
      </c>
      <c r="J18" s="65" t="s">
        <v>333</v>
      </c>
      <c r="K18" s="65" t="s">
        <v>333</v>
      </c>
      <c r="L18" s="65" t="s">
        <v>333</v>
      </c>
      <c r="M18" s="65" t="s">
        <v>333</v>
      </c>
      <c r="N18" s="61" t="s">
        <v>333</v>
      </c>
      <c r="O18" s="36"/>
      <c r="P18" s="104" t="s">
        <v>333</v>
      </c>
      <c r="Q18" s="17"/>
      <c r="R18" s="117" t="s">
        <v>447</v>
      </c>
    </row>
    <row r="19" spans="1:18">
      <c r="A19" s="20"/>
      <c r="B19" s="21"/>
      <c r="C19" s="89" t="s">
        <v>211</v>
      </c>
      <c r="D19" s="69" t="s">
        <v>320</v>
      </c>
      <c r="E19" s="70" t="s">
        <v>320</v>
      </c>
      <c r="F19" s="65" t="s">
        <v>320</v>
      </c>
      <c r="G19" s="65" t="s">
        <v>320</v>
      </c>
      <c r="H19" s="66" t="s">
        <v>320</v>
      </c>
      <c r="I19" s="65" t="s">
        <v>324</v>
      </c>
      <c r="J19" s="65" t="s">
        <v>320</v>
      </c>
      <c r="K19" s="65" t="s">
        <v>320</v>
      </c>
      <c r="L19" s="65" t="s">
        <v>324</v>
      </c>
      <c r="M19" s="65" t="s">
        <v>320</v>
      </c>
      <c r="N19" s="61" t="s">
        <v>320</v>
      </c>
      <c r="O19" s="36"/>
      <c r="P19" s="104" t="s">
        <v>320</v>
      </c>
      <c r="Q19" s="17"/>
      <c r="R19" s="117" t="s">
        <v>448</v>
      </c>
    </row>
    <row r="20" spans="1:18">
      <c r="A20" s="20"/>
      <c r="B20" s="21"/>
      <c r="C20" s="89" t="s">
        <v>212</v>
      </c>
      <c r="D20" s="69" t="s">
        <v>321</v>
      </c>
      <c r="E20" s="70" t="s">
        <v>321</v>
      </c>
      <c r="F20" s="65" t="s">
        <v>317</v>
      </c>
      <c r="G20" s="65" t="s">
        <v>317</v>
      </c>
      <c r="H20" s="66" t="s">
        <v>317</v>
      </c>
      <c r="I20" s="65" t="s">
        <v>317</v>
      </c>
      <c r="J20" s="65" t="s">
        <v>321</v>
      </c>
      <c r="K20" s="65" t="s">
        <v>317</v>
      </c>
      <c r="L20" s="65" t="s">
        <v>321</v>
      </c>
      <c r="M20" s="65" t="s">
        <v>321</v>
      </c>
      <c r="N20" s="61" t="s">
        <v>321</v>
      </c>
      <c r="O20" s="36"/>
      <c r="P20" s="104" t="s">
        <v>321</v>
      </c>
      <c r="Q20" s="17"/>
      <c r="R20" s="117" t="s">
        <v>449</v>
      </c>
    </row>
    <row r="21" spans="1:18">
      <c r="A21" s="20"/>
      <c r="B21" s="21"/>
      <c r="C21" s="89" t="s">
        <v>213</v>
      </c>
      <c r="D21" s="69" t="s">
        <v>328</v>
      </c>
      <c r="E21" s="70" t="s">
        <v>328</v>
      </c>
      <c r="F21" s="65" t="s">
        <v>328</v>
      </c>
      <c r="G21" s="65" t="s">
        <v>328</v>
      </c>
      <c r="H21" s="66" t="s">
        <v>328</v>
      </c>
      <c r="I21" s="65" t="s">
        <v>328</v>
      </c>
      <c r="J21" s="65" t="s">
        <v>328</v>
      </c>
      <c r="K21" s="65" t="s">
        <v>328</v>
      </c>
      <c r="L21" s="65" t="s">
        <v>328</v>
      </c>
      <c r="M21" s="65" t="s">
        <v>322</v>
      </c>
      <c r="N21" s="61" t="s">
        <v>328</v>
      </c>
      <c r="O21" s="36"/>
      <c r="P21" s="104" t="s">
        <v>328</v>
      </c>
      <c r="Q21" s="17"/>
      <c r="R21" s="117" t="s">
        <v>450</v>
      </c>
    </row>
    <row r="22" spans="1:18" ht="16" thickBot="1">
      <c r="A22" s="20"/>
      <c r="B22" s="21"/>
      <c r="C22" s="99"/>
      <c r="D22" s="100"/>
      <c r="E22" s="101"/>
      <c r="F22" s="102"/>
      <c r="G22" s="102"/>
      <c r="H22" s="100"/>
      <c r="I22" s="102"/>
      <c r="J22" s="102"/>
      <c r="K22" s="102"/>
      <c r="L22" s="102"/>
      <c r="M22" s="102"/>
      <c r="N22" s="103"/>
      <c r="O22" s="36"/>
      <c r="P22" s="105"/>
      <c r="Q22" s="17"/>
      <c r="R22" s="118"/>
    </row>
    <row r="23" spans="1:18" ht="16" thickTop="1">
      <c r="A23" s="20"/>
      <c r="B23" s="6"/>
      <c r="C23" s="37"/>
      <c r="D23" s="38"/>
      <c r="E23" s="39"/>
      <c r="F23" s="38"/>
      <c r="G23" s="38"/>
      <c r="H23" s="40"/>
      <c r="I23" s="38"/>
      <c r="J23" s="38"/>
      <c r="K23" s="38"/>
      <c r="L23" s="38"/>
      <c r="M23" s="38"/>
      <c r="N23" s="38"/>
      <c r="O23" s="36"/>
      <c r="P23" s="41" t="s">
        <v>16</v>
      </c>
      <c r="Q23" s="17"/>
      <c r="R23" s="2"/>
    </row>
    <row r="24" spans="1:18">
      <c r="A24" s="20"/>
      <c r="B24" s="6"/>
      <c r="C24" s="42" t="s">
        <v>15</v>
      </c>
      <c r="D24" s="82">
        <v>99</v>
      </c>
      <c r="E24" s="107">
        <v>75</v>
      </c>
      <c r="F24" s="82">
        <v>94</v>
      </c>
      <c r="G24" s="82">
        <v>70</v>
      </c>
      <c r="H24" s="83">
        <v>97</v>
      </c>
      <c r="I24" s="82">
        <v>83</v>
      </c>
      <c r="J24" s="82">
        <v>75</v>
      </c>
      <c r="K24" s="82">
        <v>86</v>
      </c>
      <c r="L24" s="82">
        <v>88</v>
      </c>
      <c r="M24" s="82">
        <v>86</v>
      </c>
      <c r="N24" s="82">
        <v>77</v>
      </c>
      <c r="O24" s="36"/>
      <c r="P24" s="106">
        <v>33</v>
      </c>
      <c r="Q24" s="17"/>
      <c r="R24" s="2"/>
    </row>
    <row r="25" spans="1:18">
      <c r="A25" s="20"/>
      <c r="B25" s="6"/>
      <c r="C25" s="43"/>
      <c r="D25" s="38"/>
      <c r="E25" s="39"/>
      <c r="F25" s="38"/>
      <c r="G25" s="38"/>
      <c r="H25" s="40"/>
      <c r="I25" s="38"/>
      <c r="J25" s="38"/>
      <c r="K25" s="38"/>
      <c r="L25" s="38"/>
      <c r="M25" s="38"/>
      <c r="N25" s="38"/>
      <c r="O25" s="36"/>
      <c r="P25" s="36"/>
      <c r="Q25" s="17"/>
      <c r="R25" s="2"/>
    </row>
    <row r="26" spans="1:18">
      <c r="A26" s="20"/>
      <c r="B26" s="6"/>
      <c r="C26" s="44" t="s">
        <v>13</v>
      </c>
      <c r="D26" s="45" t="str" cm="1">
        <f t="array" ref="D26">SUMPRODUCT(--(D7:D22=$P$7:$P$22), --($P$7:$P$22&lt;&gt;"")) &amp; "-" &amp; SUMPRODUCT(--(D7:D22&lt;&gt;$P$7:$P$22), --($P$7:$P$22&lt;&gt;""))</f>
        <v>10-5</v>
      </c>
      <c r="E26" s="46" t="str" cm="1">
        <f t="array" ref="E26">SUMPRODUCT(--(E7:E22=$P$7:$P$22), --($P$7:$P$22&lt;&gt;"")) &amp; "-" &amp; SUMPRODUCT(--(E7:E22&lt;&gt;$P$7:$P$22), --($P$7:$P$22&lt;&gt;""))</f>
        <v>10-5</v>
      </c>
      <c r="F26" s="45" t="str" cm="1">
        <f t="array" ref="F26">SUMPRODUCT(--(F7:F22=$P$7:$P$22), --($P$7:$P$22&lt;&gt;"")) &amp; "-" &amp; SUMPRODUCT(--(F7:F22&lt;&gt;$P$7:$P$22), --($P$7:$P$22&lt;&gt;""))</f>
        <v>13-2</v>
      </c>
      <c r="G26" s="45" t="str" cm="1">
        <f t="array" ref="G26">SUMPRODUCT(--(G7:G22=$P$7:$P$22), --($P$7:$P$22&lt;&gt;"")) &amp; "-" &amp; SUMPRODUCT(--(G7:G22&lt;&gt;$P$7:$P$22), --($P$7:$P$22&lt;&gt;""))</f>
        <v>9-6</v>
      </c>
      <c r="H26" s="47" t="str" cm="1">
        <f t="array" ref="H26">SUMPRODUCT(--(H7:H22=$P$7:$P$22), --($P$7:$P$22&lt;&gt;"")) &amp; "-" &amp; SUMPRODUCT(--(H7:H22&lt;&gt;$P$7:$P$22), --($P$7:$P$22&lt;&gt;""))</f>
        <v>12-3</v>
      </c>
      <c r="I26" s="45" t="str" cm="1">
        <f t="array" ref="I26">SUMPRODUCT(--(I7:I22=$P$7:$P$22), --($P$7:$P$22&lt;&gt;"")) &amp; "-" &amp; SUMPRODUCT(--(I7:I22&lt;&gt;$P$7:$P$22), --($P$7:$P$22&lt;&gt;""))</f>
        <v>7-8</v>
      </c>
      <c r="J26" s="45" t="str" cm="1">
        <f t="array" ref="J26">SUMPRODUCT(--(J7:J22=$P$7:$P$22), --($P$7:$P$22&lt;&gt;"")) &amp; "-" &amp; SUMPRODUCT(--(J7:J22&lt;&gt;$P$7:$P$22), --($P$7:$P$22&lt;&gt;""))</f>
        <v>11-4</v>
      </c>
      <c r="K26" s="45" t="str" cm="1">
        <f t="array" ref="K26">SUMPRODUCT(--(K7:K22=$P$7:$P$22), --($P$7:$P$22&lt;&gt;"")) &amp; "-" &amp; SUMPRODUCT(--(K7:K22&lt;&gt;$P$7:$P$22), --($P$7:$P$22&lt;&gt;""))</f>
        <v>10-5</v>
      </c>
      <c r="L26" s="45" t="str" cm="1">
        <f t="array" ref="L26">SUMPRODUCT(--(L7:L22=$P$7:$P$22), --($P$7:$P$22&lt;&gt;"")) &amp; "-" &amp; SUMPRODUCT(--(L7:L22&lt;&gt;$P$7:$P$22), --($P$7:$P$22&lt;&gt;""))</f>
        <v>11-4</v>
      </c>
      <c r="M26" s="45" t="str" cm="1">
        <f t="array" ref="M26">SUMPRODUCT(--(M7:M22=$P$7:$P$22), --($P$7:$P$22&lt;&gt;"")) &amp; "-" &amp; SUMPRODUCT(--(M7:M22&lt;&gt;$P$7:$P$22), --($P$7:$P$22&lt;&gt;""))</f>
        <v>12-3</v>
      </c>
      <c r="N26" s="45" t="str" cm="1">
        <f t="array" ref="N26">SUMPRODUCT(--(N7:N22=$P$7:$P$22), --($P$7:$P$22&lt;&gt;"")) &amp; "-" &amp; SUMPRODUCT(--(N7:N22&lt;&gt;$P$7:$P$22), --($P$7:$P$22&lt;&gt;""))</f>
        <v>12-3</v>
      </c>
      <c r="O26" s="36"/>
      <c r="P26" s="36"/>
      <c r="Q26" s="17"/>
      <c r="R26" s="2"/>
    </row>
    <row r="27" spans="1:18">
      <c r="A27" s="20"/>
      <c r="B27" s="6"/>
      <c r="C27" s="7"/>
      <c r="D27" s="11">
        <f>VALUE(LEFT(D26,FIND("-",D26)-1)) - VALUE(MID(D26,FIND("-",D26)+1,LEN(D26)-FIND("-",D26)))</f>
        <v>5</v>
      </c>
      <c r="E27" s="11">
        <f t="shared" ref="E27:N27" si="0">VALUE(LEFT(E26,FIND("-",E26)-1)) - VALUE(MID(E26,FIND("-",E26)+1,LEN(E26)-FIND("-",E26)))</f>
        <v>5</v>
      </c>
      <c r="F27" s="11">
        <f t="shared" si="0"/>
        <v>11</v>
      </c>
      <c r="G27" s="11">
        <f t="shared" si="0"/>
        <v>3</v>
      </c>
      <c r="H27" s="11">
        <f t="shared" si="0"/>
        <v>9</v>
      </c>
      <c r="I27" s="11">
        <f t="shared" si="0"/>
        <v>-1</v>
      </c>
      <c r="J27" s="11">
        <f t="shared" si="0"/>
        <v>7</v>
      </c>
      <c r="K27" s="11">
        <f t="shared" si="0"/>
        <v>5</v>
      </c>
      <c r="L27" s="11">
        <f t="shared" si="0"/>
        <v>7</v>
      </c>
      <c r="M27" s="11">
        <f t="shared" si="0"/>
        <v>9</v>
      </c>
      <c r="N27" s="11">
        <f t="shared" si="0"/>
        <v>9</v>
      </c>
      <c r="O27" s="6"/>
      <c r="P27" s="6"/>
      <c r="Q27" s="17"/>
      <c r="R27" s="2"/>
    </row>
    <row r="28" spans="1:18" ht="24" customHeight="1">
      <c r="A28" s="20"/>
      <c r="B28" s="12"/>
      <c r="C28" s="199" t="s">
        <v>17</v>
      </c>
      <c r="D28" s="200"/>
      <c r="E28" s="201" t="str" cm="1">
        <f t="array" ref="E28">IF(P24="", "",
   _xlfn.LET(
      _xlpm.scores, D27:N27,
      _xlpm.names, D5:N5,
      _xlpm.tiebreaks, D24:N24,
      _xlpm.guesses, D26:N26,
      _xlpm.maxScore, MAX(_xlpm.scores),
      _xlpm.topScorers, IF(_xlpm.scores=_xlpm.maxScore, 1, 0),
      _xlpm.tiebreakDiffs, IF(_xlpm.topScorers, ABS(_xlpm.tiebreaks - P24), ""),
      _xlpm.minDiff, MIN(IF(_xlpm.tiebreakDiffs&lt;&gt;"", _xlpm.tiebreakDiffs)),
      _xlpm.winners, IF((_xlpm.scores=_xlpm.maxScore)*(ABS(_xlpm.tiebreaks - P24)=_xlpm.minDiff), _xlpm.names, ""),
      _xlpm.guessMatch, INDEX(_xlpm.guesses, MATCH(1, (_xlpm.scores=_xlpm.maxScore)*(ABS(_xlpm.tiebreaks - P24)=_xlpm.minDiff), 0)),
      _xlpm.winnerList, _xlfn.TEXTJOIN(", ", TRUE, _xlpm.winners),
      IF(COUNTA(_xlfn._xlws.FILTER(_xlpm.winners, _xlpm.winners&lt;&gt;""))=1,
         _xlpm.winnerList &amp; " (" &amp; _xlpm.guessMatch &amp; ")",
         _xlpm.winnerList
      )
   )
)</f>
        <v>Susan (13-2)</v>
      </c>
      <c r="F28" s="202"/>
      <c r="G28" s="203"/>
      <c r="H28" s="6"/>
      <c r="I28" s="6"/>
      <c r="J28" s="6"/>
      <c r="K28" s="6"/>
      <c r="L28" s="6"/>
      <c r="M28" s="6"/>
      <c r="N28" s="6"/>
      <c r="O28" s="6"/>
      <c r="P28" s="6"/>
      <c r="Q28" s="17"/>
    </row>
    <row r="29" spans="1:18" ht="15" customHeight="1" thickBot="1">
      <c r="A29" s="20"/>
      <c r="B29" s="22"/>
      <c r="C29" s="32"/>
      <c r="D29" s="32"/>
      <c r="E29" s="33"/>
      <c r="F29" s="33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5"/>
    </row>
    <row r="30" spans="1:18" ht="16" thickTop="1">
      <c r="D30" s="1"/>
    </row>
    <row r="35" spans="9:9" ht="16" thickBot="1"/>
    <row r="36" spans="9:9" ht="16" thickTop="1">
      <c r="I36" s="13"/>
    </row>
  </sheetData>
  <sheetProtection selectLockedCells="1"/>
  <customSheetViews>
    <customSheetView guid="{096EED88-6BAE-D941-AE0E-0C5B75B09829}" fitToPage="1">
      <selection activeCell="E29" sqref="E29"/>
      <pageMargins left="0.7" right="0.7" top="0.75" bottom="0.75" header="0.3" footer="0.3"/>
      <pageSetup scale="65" orientation="landscape" r:id="rId1"/>
    </customSheetView>
  </customSheetViews>
  <mergeCells count="17">
    <mergeCell ref="P5:P6"/>
    <mergeCell ref="R5:R6"/>
    <mergeCell ref="C28:D28"/>
    <mergeCell ref="E28:G28"/>
    <mergeCell ref="C3:P3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  <mergeCell ref="N5:N6"/>
  </mergeCells>
  <conditionalFormatting sqref="D7:N22">
    <cfRule type="expression" dxfId="45" priority="3">
      <formula>AND($P7=D7, $P7&lt;&gt;"")</formula>
    </cfRule>
    <cfRule type="expression" dxfId="44" priority="4">
      <formula>AND($P7&lt;&gt;D7, $P7&lt;&gt;"")</formula>
    </cfRule>
  </conditionalFormatting>
  <conditionalFormatting sqref="D26:N26">
    <cfRule type="expression" dxfId="43" priority="1">
      <formula>AND(--LEFT(D26,FIND("-",D26)-1) = MAX(--LEFT($D$26:$N$26,FIND("-",$D$26:$N$26)-1)), COUNTIF($D$26:$N$26, MAX(--LEFT($D$26:$N$26,FIND("-",$D$26:$N$26)-1)) &amp; "-*") &gt; 1)</formula>
    </cfRule>
    <cfRule type="expression" dxfId="42" priority="2">
      <formula>AND(--LEFT(D26,FIND("-",D26)-1) = MAX(--LEFT($D$26:$N$26,FIND("-",$D$26:$N$26)-1)), COUNTIF($D$26:$N$26, MAX(--LEFT($D$26:$N$26,FIND("-",$D$26:$N$26)-1)) &amp; "-*") = 1)</formula>
    </cfRule>
  </conditionalFormatting>
  <pageMargins left="0.7" right="0.7" top="0.75" bottom="0.75" header="0.3" footer="0.3"/>
  <pageSetup scale="65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Button 1">
              <controlPr defaultSize="0" print="0" autoFill="0" autoPict="0" macro="[0]!UpdateCurrentSheet">
                <anchor moveWithCells="1" sizeWithCells="1">
                  <from>
                    <xdr:col>17</xdr:col>
                    <xdr:colOff>635000</xdr:colOff>
                    <xdr:row>2</xdr:row>
                    <xdr:rowOff>50800</xdr:rowOff>
                  </from>
                  <to>
                    <xdr:col>17</xdr:col>
                    <xdr:colOff>1282700</xdr:colOff>
                    <xdr:row>2</xdr:row>
                    <xdr:rowOff>368300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31390-5330-4473-A00C-A7E3AC369DDF}">
  <sheetPr codeName="Sheet6"/>
  <dimension ref="A2:R36"/>
  <sheetViews>
    <sheetView zoomScaleNormal="110" workbookViewId="0">
      <selection activeCell="E29" sqref="E29"/>
    </sheetView>
  </sheetViews>
  <sheetFormatPr baseColWidth="10" defaultColWidth="8.83203125" defaultRowHeight="15"/>
  <cols>
    <col min="2" max="2" width="1.6640625" customWidth="1"/>
    <col min="3" max="3" width="11.6640625" style="1" bestFit="1" customWidth="1"/>
    <col min="4" max="14" width="13.1640625" customWidth="1"/>
    <col min="15" max="15" width="1.6640625" customWidth="1"/>
    <col min="16" max="16" width="15.5" bestFit="1" customWidth="1"/>
    <col min="17" max="17" width="1.6640625" customWidth="1"/>
    <col min="18" max="18" width="26.1640625" customWidth="1"/>
    <col min="19" max="19" width="1.6640625" customWidth="1"/>
  </cols>
  <sheetData>
    <row r="2" spans="1:18" ht="15" customHeight="1" thickBot="1">
      <c r="B2" s="31"/>
      <c r="C2" s="30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</row>
    <row r="3" spans="1:18" ht="32.25" customHeight="1" thickBot="1">
      <c r="B3" s="27"/>
      <c r="C3" s="186" t="s">
        <v>39</v>
      </c>
      <c r="D3" s="186"/>
      <c r="E3" s="186"/>
      <c r="F3" s="186"/>
      <c r="G3" s="186"/>
      <c r="H3" s="186"/>
      <c r="I3" s="186"/>
      <c r="J3" s="186"/>
      <c r="K3" s="186"/>
      <c r="L3" s="186"/>
      <c r="M3" s="186"/>
      <c r="N3" s="186"/>
      <c r="O3" s="186"/>
      <c r="P3" s="186"/>
      <c r="Q3" s="28"/>
    </row>
    <row r="4" spans="1:18" ht="15" customHeight="1" thickBot="1">
      <c r="A4" s="20"/>
      <c r="B4" s="19"/>
      <c r="C4" s="14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6"/>
      <c r="P4" s="6"/>
      <c r="Q4" s="16"/>
      <c r="R4" s="2"/>
    </row>
    <row r="5" spans="1:18" ht="23.25" customHeight="1" thickTop="1">
      <c r="A5" s="20"/>
      <c r="B5" s="6"/>
      <c r="C5" s="187" t="s">
        <v>18</v>
      </c>
      <c r="D5" s="189" t="s">
        <v>14</v>
      </c>
      <c r="E5" s="191" t="s">
        <v>2</v>
      </c>
      <c r="F5" s="193" t="s">
        <v>3</v>
      </c>
      <c r="G5" s="193" t="s">
        <v>4</v>
      </c>
      <c r="H5" s="193" t="s">
        <v>5</v>
      </c>
      <c r="I5" s="189" t="s">
        <v>6</v>
      </c>
      <c r="J5" s="189" t="s">
        <v>7</v>
      </c>
      <c r="K5" s="189" t="s">
        <v>8</v>
      </c>
      <c r="L5" s="191" t="s">
        <v>9</v>
      </c>
      <c r="M5" s="193" t="s">
        <v>10</v>
      </c>
      <c r="N5" s="189" t="s">
        <v>11</v>
      </c>
      <c r="O5" s="6"/>
      <c r="P5" s="195" t="s">
        <v>12</v>
      </c>
      <c r="Q5" s="17"/>
      <c r="R5" s="204" t="s">
        <v>389</v>
      </c>
    </row>
    <row r="6" spans="1:18" ht="8" customHeight="1" thickBot="1">
      <c r="A6" s="20"/>
      <c r="B6" s="6"/>
      <c r="C6" s="188"/>
      <c r="D6" s="190"/>
      <c r="E6" s="192"/>
      <c r="F6" s="194"/>
      <c r="G6" s="194"/>
      <c r="H6" s="194"/>
      <c r="I6" s="190"/>
      <c r="J6" s="190"/>
      <c r="K6" s="190"/>
      <c r="L6" s="192"/>
      <c r="M6" s="194"/>
      <c r="N6" s="190"/>
      <c r="O6" s="6"/>
      <c r="P6" s="196"/>
      <c r="Q6" s="17"/>
      <c r="R6" s="205"/>
    </row>
    <row r="7" spans="1:18" ht="16" thickTop="1">
      <c r="A7" s="20"/>
      <c r="B7" s="21"/>
      <c r="C7" s="81" t="s">
        <v>214</v>
      </c>
      <c r="D7" s="51" t="s">
        <v>323</v>
      </c>
      <c r="E7" s="52" t="s">
        <v>323</v>
      </c>
      <c r="F7" s="53" t="s">
        <v>323</v>
      </c>
      <c r="G7" s="53" t="s">
        <v>332</v>
      </c>
      <c r="H7" s="51" t="s">
        <v>323</v>
      </c>
      <c r="I7" s="53" t="s">
        <v>323</v>
      </c>
      <c r="J7" s="53" t="s">
        <v>323</v>
      </c>
      <c r="K7" s="53" t="s">
        <v>323</v>
      </c>
      <c r="L7" s="53" t="s">
        <v>323</v>
      </c>
      <c r="M7" s="53" t="s">
        <v>323</v>
      </c>
      <c r="N7" s="54" t="s">
        <v>323</v>
      </c>
      <c r="O7" s="36"/>
      <c r="P7" s="56" t="s">
        <v>323</v>
      </c>
      <c r="Q7" s="17"/>
      <c r="R7" s="117" t="s">
        <v>451</v>
      </c>
    </row>
    <row r="8" spans="1:18">
      <c r="A8" s="20"/>
      <c r="B8" s="21"/>
      <c r="C8" s="85" t="s">
        <v>215</v>
      </c>
      <c r="D8" s="57" t="s">
        <v>324</v>
      </c>
      <c r="E8" s="58" t="s">
        <v>324</v>
      </c>
      <c r="F8" s="59" t="s">
        <v>324</v>
      </c>
      <c r="G8" s="59" t="s">
        <v>324</v>
      </c>
      <c r="H8" s="60" t="s">
        <v>324</v>
      </c>
      <c r="I8" s="59" t="s">
        <v>324</v>
      </c>
      <c r="J8" s="59" t="s">
        <v>324</v>
      </c>
      <c r="K8" s="59" t="s">
        <v>324</v>
      </c>
      <c r="L8" s="59" t="s">
        <v>324</v>
      </c>
      <c r="M8" s="59" t="s">
        <v>324</v>
      </c>
      <c r="N8" s="61" t="s">
        <v>324</v>
      </c>
      <c r="O8" s="36"/>
      <c r="P8" s="62" t="s">
        <v>329</v>
      </c>
      <c r="Q8" s="17"/>
      <c r="R8" s="117" t="s">
        <v>455</v>
      </c>
    </row>
    <row r="9" spans="1:18">
      <c r="A9" s="20"/>
      <c r="B9" s="21"/>
      <c r="C9" s="89" t="s">
        <v>216</v>
      </c>
      <c r="D9" s="63" t="s">
        <v>318</v>
      </c>
      <c r="E9" s="64" t="s">
        <v>318</v>
      </c>
      <c r="F9" s="65" t="s">
        <v>318</v>
      </c>
      <c r="G9" s="65" t="s">
        <v>318</v>
      </c>
      <c r="H9" s="66" t="s">
        <v>318</v>
      </c>
      <c r="I9" s="65" t="s">
        <v>318</v>
      </c>
      <c r="J9" s="65" t="s">
        <v>318</v>
      </c>
      <c r="K9" s="65" t="s">
        <v>318</v>
      </c>
      <c r="L9" s="65" t="s">
        <v>318</v>
      </c>
      <c r="M9" s="65" t="s">
        <v>318</v>
      </c>
      <c r="N9" s="61" t="s">
        <v>318</v>
      </c>
      <c r="O9" s="36"/>
      <c r="P9" s="104" t="s">
        <v>310</v>
      </c>
      <c r="Q9" s="17"/>
      <c r="R9" s="117" t="s">
        <v>458</v>
      </c>
    </row>
    <row r="10" spans="1:18">
      <c r="A10" s="20"/>
      <c r="B10" s="21"/>
      <c r="C10" s="89" t="s">
        <v>217</v>
      </c>
      <c r="D10" s="63" t="s">
        <v>309</v>
      </c>
      <c r="E10" s="64" t="s">
        <v>309</v>
      </c>
      <c r="F10" s="65" t="s">
        <v>309</v>
      </c>
      <c r="G10" s="65" t="s">
        <v>309</v>
      </c>
      <c r="H10" s="66" t="s">
        <v>309</v>
      </c>
      <c r="I10" s="65" t="s">
        <v>309</v>
      </c>
      <c r="J10" s="65" t="s">
        <v>309</v>
      </c>
      <c r="K10" s="65" t="s">
        <v>309</v>
      </c>
      <c r="L10" s="65" t="s">
        <v>309</v>
      </c>
      <c r="M10" s="65" t="s">
        <v>309</v>
      </c>
      <c r="N10" s="61" t="s">
        <v>309</v>
      </c>
      <c r="O10" s="36"/>
      <c r="P10" s="104" t="s">
        <v>309</v>
      </c>
      <c r="Q10" s="17"/>
      <c r="R10" s="117" t="s">
        <v>452</v>
      </c>
    </row>
    <row r="11" spans="1:18">
      <c r="A11" s="20"/>
      <c r="B11" s="21"/>
      <c r="C11" s="89" t="s">
        <v>69</v>
      </c>
      <c r="D11" s="63" t="s">
        <v>307</v>
      </c>
      <c r="E11" s="64" t="s">
        <v>307</v>
      </c>
      <c r="F11" s="65" t="s">
        <v>307</v>
      </c>
      <c r="G11" s="65" t="s">
        <v>307</v>
      </c>
      <c r="H11" s="66" t="s">
        <v>307</v>
      </c>
      <c r="I11" s="65" t="s">
        <v>307</v>
      </c>
      <c r="J11" s="65" t="s">
        <v>307</v>
      </c>
      <c r="K11" s="65" t="s">
        <v>307</v>
      </c>
      <c r="L11" s="65" t="s">
        <v>307</v>
      </c>
      <c r="M11" s="65" t="s">
        <v>307</v>
      </c>
      <c r="N11" s="61" t="s">
        <v>307</v>
      </c>
      <c r="O11" s="36"/>
      <c r="P11" s="104" t="s">
        <v>307</v>
      </c>
      <c r="Q11" s="17"/>
      <c r="R11" s="117" t="s">
        <v>453</v>
      </c>
    </row>
    <row r="12" spans="1:18">
      <c r="A12" s="20"/>
      <c r="B12" s="21"/>
      <c r="C12" s="94" t="s">
        <v>218</v>
      </c>
      <c r="D12" s="67" t="s">
        <v>314</v>
      </c>
      <c r="E12" s="68" t="s">
        <v>338</v>
      </c>
      <c r="F12" s="53" t="s">
        <v>314</v>
      </c>
      <c r="G12" s="53" t="s">
        <v>314</v>
      </c>
      <c r="H12" s="51" t="s">
        <v>314</v>
      </c>
      <c r="I12" s="53" t="s">
        <v>314</v>
      </c>
      <c r="J12" s="53" t="s">
        <v>314</v>
      </c>
      <c r="K12" s="53" t="s">
        <v>314</v>
      </c>
      <c r="L12" s="53" t="s">
        <v>314</v>
      </c>
      <c r="M12" s="53" t="s">
        <v>314</v>
      </c>
      <c r="N12" s="54" t="s">
        <v>314</v>
      </c>
      <c r="O12" s="36"/>
      <c r="P12" s="104" t="s">
        <v>314</v>
      </c>
      <c r="Q12" s="17"/>
      <c r="R12" s="117" t="s">
        <v>456</v>
      </c>
    </row>
    <row r="13" spans="1:18">
      <c r="A13" s="20"/>
      <c r="B13" s="21"/>
      <c r="C13" s="89" t="s">
        <v>219</v>
      </c>
      <c r="D13" s="69" t="s">
        <v>315</v>
      </c>
      <c r="E13" s="70" t="s">
        <v>315</v>
      </c>
      <c r="F13" s="65" t="s">
        <v>331</v>
      </c>
      <c r="G13" s="65" t="s">
        <v>331</v>
      </c>
      <c r="H13" s="66" t="s">
        <v>331</v>
      </c>
      <c r="I13" s="65" t="s">
        <v>331</v>
      </c>
      <c r="J13" s="65" t="s">
        <v>315</v>
      </c>
      <c r="K13" s="65" t="s">
        <v>315</v>
      </c>
      <c r="L13" s="65" t="s">
        <v>331</v>
      </c>
      <c r="M13" s="65" t="s">
        <v>331</v>
      </c>
      <c r="N13" s="61" t="s">
        <v>331</v>
      </c>
      <c r="O13" s="36"/>
      <c r="P13" s="104" t="s">
        <v>331</v>
      </c>
      <c r="Q13" s="17"/>
      <c r="R13" s="117" t="s">
        <v>457</v>
      </c>
    </row>
    <row r="14" spans="1:18">
      <c r="A14" s="20"/>
      <c r="B14" s="21"/>
      <c r="C14" s="89" t="s">
        <v>220</v>
      </c>
      <c r="D14" s="69" t="s">
        <v>322</v>
      </c>
      <c r="E14" s="70" t="s">
        <v>320</v>
      </c>
      <c r="F14" s="65" t="s">
        <v>320</v>
      </c>
      <c r="G14" s="65" t="s">
        <v>320</v>
      </c>
      <c r="H14" s="66" t="s">
        <v>320</v>
      </c>
      <c r="I14" s="65" t="s">
        <v>320</v>
      </c>
      <c r="J14" s="65" t="s">
        <v>320</v>
      </c>
      <c r="K14" s="65" t="s">
        <v>320</v>
      </c>
      <c r="L14" s="65" t="s">
        <v>322</v>
      </c>
      <c r="M14" s="65" t="s">
        <v>320</v>
      </c>
      <c r="N14" s="61" t="s">
        <v>322</v>
      </c>
      <c r="O14" s="36"/>
      <c r="P14" s="104" t="s">
        <v>322</v>
      </c>
      <c r="Q14" s="17"/>
      <c r="R14" s="117" t="s">
        <v>454</v>
      </c>
    </row>
    <row r="15" spans="1:18">
      <c r="A15" s="20"/>
      <c r="B15" s="21"/>
      <c r="C15" s="89" t="s">
        <v>33</v>
      </c>
      <c r="D15" s="69" t="s">
        <v>317</v>
      </c>
      <c r="E15" s="70" t="s">
        <v>317</v>
      </c>
      <c r="F15" s="65" t="s">
        <v>317</v>
      </c>
      <c r="G15" s="65" t="s">
        <v>317</v>
      </c>
      <c r="H15" s="66" t="s">
        <v>317</v>
      </c>
      <c r="I15" s="65" t="s">
        <v>326</v>
      </c>
      <c r="J15" s="65" t="s">
        <v>317</v>
      </c>
      <c r="K15" s="65" t="s">
        <v>317</v>
      </c>
      <c r="L15" s="65" t="s">
        <v>317</v>
      </c>
      <c r="M15" s="65" t="s">
        <v>317</v>
      </c>
      <c r="N15" s="61" t="s">
        <v>317</v>
      </c>
      <c r="O15" s="36"/>
      <c r="P15" s="104" t="s">
        <v>317</v>
      </c>
      <c r="Q15" s="17"/>
      <c r="R15" s="117" t="s">
        <v>459</v>
      </c>
    </row>
    <row r="16" spans="1:18">
      <c r="A16" s="20"/>
      <c r="B16" s="21"/>
      <c r="C16" s="89" t="s">
        <v>221</v>
      </c>
      <c r="D16" s="69" t="s">
        <v>336</v>
      </c>
      <c r="E16" s="70" t="s">
        <v>313</v>
      </c>
      <c r="F16" s="65" t="s">
        <v>336</v>
      </c>
      <c r="G16" s="65" t="s">
        <v>313</v>
      </c>
      <c r="H16" s="66" t="s">
        <v>336</v>
      </c>
      <c r="I16" s="65" t="s">
        <v>336</v>
      </c>
      <c r="J16" s="65" t="s">
        <v>336</v>
      </c>
      <c r="K16" s="65" t="s">
        <v>313</v>
      </c>
      <c r="L16" s="65" t="s">
        <v>336</v>
      </c>
      <c r="M16" s="65" t="s">
        <v>313</v>
      </c>
      <c r="N16" s="61" t="s">
        <v>313</v>
      </c>
      <c r="O16" s="36"/>
      <c r="P16" s="104" t="s">
        <v>313</v>
      </c>
      <c r="Q16" s="17"/>
      <c r="R16" s="117" t="s">
        <v>461</v>
      </c>
    </row>
    <row r="17" spans="1:18">
      <c r="A17" s="20"/>
      <c r="B17" s="21"/>
      <c r="C17" s="89" t="s">
        <v>61</v>
      </c>
      <c r="D17" s="69" t="s">
        <v>308</v>
      </c>
      <c r="E17" s="70" t="s">
        <v>308</v>
      </c>
      <c r="F17" s="65" t="s">
        <v>308</v>
      </c>
      <c r="G17" s="65" t="s">
        <v>308</v>
      </c>
      <c r="H17" s="66" t="s">
        <v>308</v>
      </c>
      <c r="I17" s="65" t="s">
        <v>308</v>
      </c>
      <c r="J17" s="65" t="s">
        <v>308</v>
      </c>
      <c r="K17" s="65" t="s">
        <v>308</v>
      </c>
      <c r="L17" s="65" t="s">
        <v>308</v>
      </c>
      <c r="M17" s="65" t="s">
        <v>308</v>
      </c>
      <c r="N17" s="61" t="s">
        <v>308</v>
      </c>
      <c r="O17" s="36"/>
      <c r="P17" s="104" t="s">
        <v>308</v>
      </c>
      <c r="Q17" s="17"/>
      <c r="R17" s="117" t="s">
        <v>460</v>
      </c>
    </row>
    <row r="18" spans="1:18">
      <c r="A18" s="20"/>
      <c r="B18" s="21"/>
      <c r="C18" s="89" t="s">
        <v>222</v>
      </c>
      <c r="D18" s="69" t="s">
        <v>327</v>
      </c>
      <c r="E18" s="70" t="s">
        <v>333</v>
      </c>
      <c r="F18" s="65" t="s">
        <v>327</v>
      </c>
      <c r="G18" s="65" t="s">
        <v>333</v>
      </c>
      <c r="H18" s="66" t="s">
        <v>327</v>
      </c>
      <c r="I18" s="65" t="s">
        <v>327</v>
      </c>
      <c r="J18" s="65" t="s">
        <v>333</v>
      </c>
      <c r="K18" s="65" t="s">
        <v>327</v>
      </c>
      <c r="L18" s="65" t="s">
        <v>333</v>
      </c>
      <c r="M18" s="65" t="s">
        <v>333</v>
      </c>
      <c r="N18" s="61" t="s">
        <v>333</v>
      </c>
      <c r="O18" s="36"/>
      <c r="P18" s="104" t="s">
        <v>333</v>
      </c>
      <c r="Q18" s="17"/>
      <c r="R18" s="117" t="s">
        <v>462</v>
      </c>
    </row>
    <row r="19" spans="1:18">
      <c r="A19" s="20"/>
      <c r="B19" s="21"/>
      <c r="C19" s="89" t="s">
        <v>223</v>
      </c>
      <c r="D19" s="69" t="s">
        <v>316</v>
      </c>
      <c r="E19" s="70" t="s">
        <v>316</v>
      </c>
      <c r="F19" s="65" t="s">
        <v>316</v>
      </c>
      <c r="G19" s="65" t="s">
        <v>311</v>
      </c>
      <c r="H19" s="66" t="s">
        <v>316</v>
      </c>
      <c r="I19" s="65" t="s">
        <v>316</v>
      </c>
      <c r="J19" s="65" t="s">
        <v>316</v>
      </c>
      <c r="K19" s="65" t="s">
        <v>316</v>
      </c>
      <c r="L19" s="65" t="s">
        <v>316</v>
      </c>
      <c r="M19" s="65" t="s">
        <v>316</v>
      </c>
      <c r="N19" s="61" t="s">
        <v>316</v>
      </c>
      <c r="O19" s="36"/>
      <c r="P19" s="104" t="s">
        <v>316</v>
      </c>
      <c r="Q19" s="17"/>
      <c r="R19" s="117" t="s">
        <v>463</v>
      </c>
    </row>
    <row r="20" spans="1:18">
      <c r="A20" s="20"/>
      <c r="B20" s="21"/>
      <c r="C20" s="89"/>
      <c r="D20" s="69"/>
      <c r="E20" s="70"/>
      <c r="F20" s="65"/>
      <c r="G20" s="65"/>
      <c r="H20" s="66"/>
      <c r="I20" s="65"/>
      <c r="J20" s="65"/>
      <c r="K20" s="65"/>
      <c r="L20" s="65"/>
      <c r="M20" s="65"/>
      <c r="N20" s="61"/>
      <c r="O20" s="36"/>
      <c r="P20" s="104"/>
      <c r="Q20" s="17"/>
      <c r="R20" s="117"/>
    </row>
    <row r="21" spans="1:18">
      <c r="A21" s="20"/>
      <c r="B21" s="21"/>
      <c r="C21" s="89"/>
      <c r="D21" s="69"/>
      <c r="E21" s="70"/>
      <c r="F21" s="65"/>
      <c r="G21" s="65"/>
      <c r="H21" s="66"/>
      <c r="I21" s="65"/>
      <c r="J21" s="65"/>
      <c r="K21" s="65"/>
      <c r="L21" s="65"/>
      <c r="M21" s="65"/>
      <c r="N21" s="61"/>
      <c r="O21" s="36"/>
      <c r="P21" s="104"/>
      <c r="Q21" s="17"/>
      <c r="R21" s="117"/>
    </row>
    <row r="22" spans="1:18" ht="16" thickBot="1">
      <c r="A22" s="20"/>
      <c r="B22" s="21"/>
      <c r="C22" s="99"/>
      <c r="D22" s="71"/>
      <c r="E22" s="72"/>
      <c r="F22" s="73"/>
      <c r="G22" s="73"/>
      <c r="H22" s="71"/>
      <c r="I22" s="73"/>
      <c r="J22" s="73"/>
      <c r="K22" s="73"/>
      <c r="L22" s="73"/>
      <c r="M22" s="73"/>
      <c r="N22" s="74"/>
      <c r="O22" s="36"/>
      <c r="P22" s="105"/>
      <c r="Q22" s="17"/>
      <c r="R22" s="118"/>
    </row>
    <row r="23" spans="1:18" ht="16" thickTop="1">
      <c r="A23" s="20"/>
      <c r="B23" s="6"/>
      <c r="C23" s="37"/>
      <c r="D23" s="38"/>
      <c r="E23" s="39"/>
      <c r="F23" s="38"/>
      <c r="G23" s="38"/>
      <c r="H23" s="40"/>
      <c r="I23" s="38"/>
      <c r="J23" s="38"/>
      <c r="K23" s="38"/>
      <c r="L23" s="38"/>
      <c r="M23" s="38"/>
      <c r="N23" s="38"/>
      <c r="O23" s="36"/>
      <c r="P23" s="41" t="s">
        <v>16</v>
      </c>
      <c r="Q23" s="17"/>
      <c r="R23" s="2"/>
    </row>
    <row r="24" spans="1:18">
      <c r="A24" s="20"/>
      <c r="B24" s="6"/>
      <c r="C24" s="42" t="s">
        <v>15</v>
      </c>
      <c r="D24" s="82">
        <v>52</v>
      </c>
      <c r="E24" s="107">
        <v>47</v>
      </c>
      <c r="F24" s="82">
        <v>54</v>
      </c>
      <c r="G24" s="82">
        <v>42</v>
      </c>
      <c r="H24" s="83">
        <v>45</v>
      </c>
      <c r="I24" s="82">
        <v>43</v>
      </c>
      <c r="J24" s="82">
        <v>42</v>
      </c>
      <c r="K24" s="82">
        <v>41</v>
      </c>
      <c r="L24" s="82">
        <v>44</v>
      </c>
      <c r="M24" s="82">
        <v>48</v>
      </c>
      <c r="N24" s="82">
        <v>47</v>
      </c>
      <c r="O24" s="36"/>
      <c r="P24" s="106">
        <v>35</v>
      </c>
      <c r="Q24" s="17"/>
      <c r="R24" s="2"/>
    </row>
    <row r="25" spans="1:18">
      <c r="A25" s="20"/>
      <c r="B25" s="6"/>
      <c r="C25" s="43"/>
      <c r="D25" s="38"/>
      <c r="E25" s="39"/>
      <c r="F25" s="38"/>
      <c r="G25" s="38"/>
      <c r="H25" s="40"/>
      <c r="I25" s="38"/>
      <c r="J25" s="38"/>
      <c r="K25" s="38"/>
      <c r="L25" s="38"/>
      <c r="M25" s="38"/>
      <c r="N25" s="38"/>
      <c r="O25" s="36"/>
      <c r="P25" s="36"/>
      <c r="Q25" s="17"/>
      <c r="R25" s="2"/>
    </row>
    <row r="26" spans="1:18">
      <c r="A26" s="20"/>
      <c r="B26" s="6"/>
      <c r="C26" s="44" t="s">
        <v>13</v>
      </c>
      <c r="D26" s="45" t="str" cm="1">
        <f t="array" ref="D26">SUMPRODUCT(--(D7:D22=$P$7:$P$22), --($P$7:$P$22&lt;&gt;"")) &amp; "-" &amp; SUMPRODUCT(--(D7:D22&lt;&gt;$P$7:$P$22), --($P$7:$P$22&lt;&gt;""))</f>
        <v>8-5</v>
      </c>
      <c r="E26" s="46" t="str" cm="1">
        <f t="array" ref="E26">SUMPRODUCT(--(E7:E22=$P$7:$P$22), --($P$7:$P$22&lt;&gt;"")) &amp; "-" &amp; SUMPRODUCT(--(E7:E22&lt;&gt;$P$7:$P$22), --($P$7:$P$22&lt;&gt;""))</f>
        <v>8-5</v>
      </c>
      <c r="F26" s="45" t="str" cm="1">
        <f t="array" ref="F26">SUMPRODUCT(--(F7:F22=$P$7:$P$22), --($P$7:$P$22&lt;&gt;"")) &amp; "-" &amp; SUMPRODUCT(--(F7:F22&lt;&gt;$P$7:$P$22), --($P$7:$P$22&lt;&gt;""))</f>
        <v>8-5</v>
      </c>
      <c r="G26" s="45" t="str" cm="1">
        <f t="array" ref="G26">SUMPRODUCT(--(G7:G22=$P$7:$P$22), --($P$7:$P$22&lt;&gt;"")) &amp; "-" &amp; SUMPRODUCT(--(G7:G22&lt;&gt;$P$7:$P$22), --($P$7:$P$22&lt;&gt;""))</f>
        <v>8-5</v>
      </c>
      <c r="H26" s="47" t="str" cm="1">
        <f t="array" ref="H26">SUMPRODUCT(--(H7:H22=$P$7:$P$22), --($P$7:$P$22&lt;&gt;"")) &amp; "-" &amp; SUMPRODUCT(--(H7:H22&lt;&gt;$P$7:$P$22), --($P$7:$P$22&lt;&gt;""))</f>
        <v>8-5</v>
      </c>
      <c r="I26" s="45" t="str" cm="1">
        <f t="array" ref="I26">SUMPRODUCT(--(I7:I22=$P$7:$P$22), --($P$7:$P$22&lt;&gt;"")) &amp; "-" &amp; SUMPRODUCT(--(I7:I22&lt;&gt;$P$7:$P$22), --($P$7:$P$22&lt;&gt;""))</f>
        <v>7-6</v>
      </c>
      <c r="J26" s="45" t="str" cm="1">
        <f t="array" ref="J26">SUMPRODUCT(--(J7:J22=$P$7:$P$22), --($P$7:$P$22&lt;&gt;"")) &amp; "-" &amp; SUMPRODUCT(--(J7:J22&lt;&gt;$P$7:$P$22), --($P$7:$P$22&lt;&gt;""))</f>
        <v>8-5</v>
      </c>
      <c r="K26" s="45" t="str" cm="1">
        <f t="array" ref="K26">SUMPRODUCT(--(K7:K22=$P$7:$P$22), --($P$7:$P$22&lt;&gt;"")) &amp; "-" &amp; SUMPRODUCT(--(K7:K22&lt;&gt;$P$7:$P$22), --($P$7:$P$22&lt;&gt;""))</f>
        <v>8-5</v>
      </c>
      <c r="L26" s="45" t="str" cm="1">
        <f t="array" ref="L26">SUMPRODUCT(--(L7:L22=$P$7:$P$22), --($P$7:$P$22&lt;&gt;"")) &amp; "-" &amp; SUMPRODUCT(--(L7:L22&lt;&gt;$P$7:$P$22), --($P$7:$P$22&lt;&gt;""))</f>
        <v>10-3</v>
      </c>
      <c r="M26" s="45" t="str" cm="1">
        <f t="array" ref="M26">SUMPRODUCT(--(M7:M22=$P$7:$P$22), --($P$7:$P$22&lt;&gt;"")) &amp; "-" &amp; SUMPRODUCT(--(M7:M22&lt;&gt;$P$7:$P$22), --($P$7:$P$22&lt;&gt;""))</f>
        <v>10-3</v>
      </c>
      <c r="N26" s="45" t="str" cm="1">
        <f t="array" ref="N26">SUMPRODUCT(--(N7:N22=$P$7:$P$22), --($P$7:$P$22&lt;&gt;"")) &amp; "-" &amp; SUMPRODUCT(--(N7:N22&lt;&gt;$P$7:$P$22), --($P$7:$P$22&lt;&gt;""))</f>
        <v>11-2</v>
      </c>
      <c r="O26" s="36"/>
      <c r="P26" s="36"/>
      <c r="Q26" s="17"/>
      <c r="R26" s="2"/>
    </row>
    <row r="27" spans="1:18">
      <c r="A27" s="20"/>
      <c r="B27" s="6"/>
      <c r="C27" s="7"/>
      <c r="D27" s="11">
        <f>VALUE(LEFT(D26,FIND("-",D26)-1)) - VALUE(MID(D26,FIND("-",D26)+1,LEN(D26)-FIND("-",D26)))</f>
        <v>3</v>
      </c>
      <c r="E27" s="11">
        <f t="shared" ref="E27:N27" si="0">VALUE(LEFT(E26,FIND("-",E26)-1)) - VALUE(MID(E26,FIND("-",E26)+1,LEN(E26)-FIND("-",E26)))</f>
        <v>3</v>
      </c>
      <c r="F27" s="11">
        <f t="shared" si="0"/>
        <v>3</v>
      </c>
      <c r="G27" s="11">
        <f t="shared" si="0"/>
        <v>3</v>
      </c>
      <c r="H27" s="11">
        <f t="shared" si="0"/>
        <v>3</v>
      </c>
      <c r="I27" s="11">
        <f t="shared" si="0"/>
        <v>1</v>
      </c>
      <c r="J27" s="11">
        <f t="shared" si="0"/>
        <v>3</v>
      </c>
      <c r="K27" s="11">
        <f t="shared" si="0"/>
        <v>3</v>
      </c>
      <c r="L27" s="11">
        <f t="shared" si="0"/>
        <v>7</v>
      </c>
      <c r="M27" s="11">
        <f t="shared" si="0"/>
        <v>7</v>
      </c>
      <c r="N27" s="11">
        <f t="shared" si="0"/>
        <v>9</v>
      </c>
      <c r="O27" s="6"/>
      <c r="P27" s="6"/>
      <c r="Q27" s="17"/>
      <c r="R27" s="2"/>
    </row>
    <row r="28" spans="1:18" ht="24" customHeight="1">
      <c r="A28" s="20"/>
      <c r="B28" s="12"/>
      <c r="C28" s="199" t="s">
        <v>17</v>
      </c>
      <c r="D28" s="200"/>
      <c r="E28" s="201" t="str" cm="1">
        <f t="array" ref="E28">IF(P24="", "",
   _xlfn.LET(
      _xlpm.scores, D27:N27,
      _xlpm.names, D5:N5,
      _xlpm.tiebreaks, D24:N24,
      _xlpm.guesses, D26:N26,
      _xlpm.maxScore, MAX(_xlpm.scores),
      _xlpm.topScorers, IF(_xlpm.scores=_xlpm.maxScore, 1, 0),
      _xlpm.tiebreakDiffs, IF(_xlpm.topScorers, ABS(_xlpm.tiebreaks - P24), ""),
      _xlpm.minDiff, MIN(IF(_xlpm.tiebreakDiffs&lt;&gt;"", _xlpm.tiebreakDiffs)),
      _xlpm.winners, IF((_xlpm.scores=_xlpm.maxScore)*(ABS(_xlpm.tiebreaks - P24)=_xlpm.minDiff), _xlpm.names, ""),
      _xlpm.guessMatch, INDEX(_xlpm.guesses, MATCH(1, (_xlpm.scores=_xlpm.maxScore)*(ABS(_xlpm.tiebreaks - P24)=_xlpm.minDiff), 0)),
      _xlpm.winnerList, _xlfn.TEXTJOIN(", ", TRUE, _xlpm.winners),
      IF(COUNTA(_xlfn._xlws.FILTER(_xlpm.winners, _xlpm.winners&lt;&gt;""))=1,
         _xlpm.winnerList &amp; " (" &amp; _xlpm.guessMatch &amp; ")",
         _xlpm.winnerList
      )
   )
)</f>
        <v>Heidi (11-2)</v>
      </c>
      <c r="F28" s="202"/>
      <c r="G28" s="203"/>
      <c r="H28" s="6"/>
      <c r="I28" s="6"/>
      <c r="J28" s="6"/>
      <c r="K28" s="6"/>
      <c r="L28" s="6"/>
      <c r="M28" s="6"/>
      <c r="N28" s="6"/>
      <c r="O28" s="6"/>
      <c r="P28" s="6"/>
      <c r="Q28" s="17"/>
    </row>
    <row r="29" spans="1:18" ht="15" customHeight="1" thickBot="1">
      <c r="A29" s="20"/>
      <c r="B29" s="22"/>
      <c r="C29" s="32"/>
      <c r="D29" s="32"/>
      <c r="E29" s="33"/>
      <c r="F29" s="33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5"/>
    </row>
    <row r="30" spans="1:18" ht="16" thickTop="1">
      <c r="D30" s="1"/>
    </row>
    <row r="35" spans="9:9" ht="16" thickBot="1"/>
    <row r="36" spans="9:9" ht="16" thickTop="1">
      <c r="I36" s="13"/>
    </row>
  </sheetData>
  <sheetProtection selectLockedCells="1"/>
  <customSheetViews>
    <customSheetView guid="{096EED88-6BAE-D941-AE0E-0C5B75B09829}">
      <selection activeCell="E29" sqref="E29"/>
      <pageMargins left="0.7" right="0.7" top="0.75" bottom="0.75" header="0.3" footer="0.3"/>
      <pageSetup orientation="portrait" r:id="rId1"/>
    </customSheetView>
  </customSheetViews>
  <mergeCells count="17">
    <mergeCell ref="C3:P3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  <mergeCell ref="N5:N6"/>
    <mergeCell ref="P5:P6"/>
    <mergeCell ref="R5:R6"/>
    <mergeCell ref="C28:D28"/>
    <mergeCell ref="E28:G28"/>
  </mergeCells>
  <conditionalFormatting sqref="D26:N26">
    <cfRule type="expression" dxfId="41" priority="3">
      <formula>AND(--LEFT(D26,FIND("-",D26)-1) = MAX(--LEFT($D$26:$N$26,FIND("-",$D$26:$N$26)-1)), COUNTIF($D$26:$N$26, MAX(--LEFT($D$26:$N$26,FIND("-",$D$26:$N$26)-1)) &amp; "-*") &gt; 1)</formula>
    </cfRule>
    <cfRule type="expression" dxfId="40" priority="4">
      <formula>AND(--LEFT(D26,FIND("-",D26)-1) = MAX(--LEFT($D$26:$N$26,FIND("-",$D$26:$N$26)-1)), COUNTIF($D$26:$N$26, MAX(--LEFT($D$26:$N$26,FIND("-",$D$26:$N$26)-1)) &amp; "-*") = 1)</formula>
    </cfRule>
  </conditionalFormatting>
  <conditionalFormatting sqref="D7:N22">
    <cfRule type="expression" dxfId="39" priority="1">
      <formula>AND($P7=D7, $P7&lt;&gt;"")</formula>
    </cfRule>
    <cfRule type="expression" dxfId="38" priority="2">
      <formula>AND($P7&lt;&gt;D7, $P7&lt;&gt;"")</formula>
    </cfRule>
  </conditionalFormatting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UpdateCurrentSheet">
                <anchor moveWithCells="1" sizeWithCells="1">
                  <from>
                    <xdr:col>17</xdr:col>
                    <xdr:colOff>596900</xdr:colOff>
                    <xdr:row>2</xdr:row>
                    <xdr:rowOff>38100</xdr:rowOff>
                  </from>
                  <to>
                    <xdr:col>17</xdr:col>
                    <xdr:colOff>1244600</xdr:colOff>
                    <xdr:row>2</xdr:row>
                    <xdr:rowOff>355600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01854C-C88A-4CA4-B917-71FB5AE6BB3A}">
  <sheetPr codeName="Sheet7"/>
  <dimension ref="A2:R36"/>
  <sheetViews>
    <sheetView workbookViewId="0">
      <selection activeCell="E29" sqref="E29"/>
    </sheetView>
  </sheetViews>
  <sheetFormatPr baseColWidth="10" defaultColWidth="8.83203125" defaultRowHeight="15"/>
  <cols>
    <col min="2" max="2" width="1.6640625" customWidth="1"/>
    <col min="3" max="3" width="11.6640625" style="1" bestFit="1" customWidth="1"/>
    <col min="4" max="14" width="13.1640625" customWidth="1"/>
    <col min="15" max="15" width="1.6640625" customWidth="1"/>
    <col min="16" max="16" width="15.5" bestFit="1" customWidth="1"/>
    <col min="17" max="17" width="1.6640625" customWidth="1"/>
    <col min="18" max="18" width="23.33203125" bestFit="1" customWidth="1"/>
    <col min="19" max="19" width="1.6640625" customWidth="1"/>
  </cols>
  <sheetData>
    <row r="2" spans="1:18" ht="15" customHeight="1" thickBot="1">
      <c r="B2" s="31"/>
      <c r="C2" s="30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</row>
    <row r="3" spans="1:18" ht="32.25" customHeight="1" thickBot="1">
      <c r="B3" s="27"/>
      <c r="C3" s="186" t="s">
        <v>40</v>
      </c>
      <c r="D3" s="186"/>
      <c r="E3" s="186"/>
      <c r="F3" s="186"/>
      <c r="G3" s="186"/>
      <c r="H3" s="186"/>
      <c r="I3" s="186"/>
      <c r="J3" s="186"/>
      <c r="K3" s="186"/>
      <c r="L3" s="186"/>
      <c r="M3" s="186"/>
      <c r="N3" s="186"/>
      <c r="O3" s="186"/>
      <c r="P3" s="186"/>
      <c r="Q3" s="28"/>
    </row>
    <row r="4" spans="1:18" ht="15" customHeight="1" thickBot="1">
      <c r="A4" s="20"/>
      <c r="B4" s="19"/>
      <c r="C4" s="14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6"/>
      <c r="P4" s="6"/>
      <c r="Q4" s="16"/>
      <c r="R4" s="2"/>
    </row>
    <row r="5" spans="1:18" ht="23.25" customHeight="1" thickTop="1">
      <c r="A5" s="20"/>
      <c r="B5" s="6"/>
      <c r="C5" s="187" t="s">
        <v>18</v>
      </c>
      <c r="D5" s="189" t="s">
        <v>14</v>
      </c>
      <c r="E5" s="191" t="s">
        <v>2</v>
      </c>
      <c r="F5" s="193" t="s">
        <v>3</v>
      </c>
      <c r="G5" s="193" t="s">
        <v>4</v>
      </c>
      <c r="H5" s="193" t="s">
        <v>5</v>
      </c>
      <c r="I5" s="189" t="s">
        <v>6</v>
      </c>
      <c r="J5" s="189" t="s">
        <v>7</v>
      </c>
      <c r="K5" s="189" t="s">
        <v>8</v>
      </c>
      <c r="L5" s="191" t="s">
        <v>9</v>
      </c>
      <c r="M5" s="193" t="s">
        <v>10</v>
      </c>
      <c r="N5" s="189" t="s">
        <v>11</v>
      </c>
      <c r="O5" s="6"/>
      <c r="P5" s="195" t="s">
        <v>12</v>
      </c>
      <c r="Q5" s="17"/>
      <c r="R5" s="204" t="s">
        <v>389</v>
      </c>
    </row>
    <row r="6" spans="1:18" ht="8" customHeight="1" thickBot="1">
      <c r="A6" s="20"/>
      <c r="B6" s="6"/>
      <c r="C6" s="188"/>
      <c r="D6" s="190"/>
      <c r="E6" s="192"/>
      <c r="F6" s="194"/>
      <c r="G6" s="194"/>
      <c r="H6" s="194"/>
      <c r="I6" s="190"/>
      <c r="J6" s="190"/>
      <c r="K6" s="190"/>
      <c r="L6" s="192"/>
      <c r="M6" s="194"/>
      <c r="N6" s="190"/>
      <c r="O6" s="6"/>
      <c r="P6" s="196"/>
      <c r="Q6" s="17"/>
      <c r="R6" s="205"/>
    </row>
    <row r="7" spans="1:18" ht="16" thickTop="1">
      <c r="A7" s="20"/>
      <c r="B7" s="21"/>
      <c r="C7" s="81" t="s">
        <v>224</v>
      </c>
      <c r="D7" s="51" t="s">
        <v>331</v>
      </c>
      <c r="E7" s="52" t="s">
        <v>331</v>
      </c>
      <c r="F7" s="53" t="s">
        <v>329</v>
      </c>
      <c r="G7" s="82" t="s">
        <v>331</v>
      </c>
      <c r="H7" s="83" t="s">
        <v>331</v>
      </c>
      <c r="I7" s="82" t="s">
        <v>331</v>
      </c>
      <c r="J7" s="82" t="s">
        <v>331</v>
      </c>
      <c r="K7" s="82" t="s">
        <v>329</v>
      </c>
      <c r="L7" s="82" t="s">
        <v>331</v>
      </c>
      <c r="M7" s="82" t="s">
        <v>331</v>
      </c>
      <c r="N7" s="84" t="s">
        <v>331</v>
      </c>
      <c r="O7" s="36"/>
      <c r="P7" s="56" t="s">
        <v>331</v>
      </c>
      <c r="Q7" s="17"/>
      <c r="R7" s="117" t="s">
        <v>464</v>
      </c>
    </row>
    <row r="8" spans="1:18">
      <c r="A8" s="20"/>
      <c r="B8" s="21"/>
      <c r="C8" s="85" t="s">
        <v>225</v>
      </c>
      <c r="D8" s="57" t="s">
        <v>318</v>
      </c>
      <c r="E8" s="58" t="s">
        <v>315</v>
      </c>
      <c r="F8" s="59" t="s">
        <v>318</v>
      </c>
      <c r="G8" s="86" t="s">
        <v>315</v>
      </c>
      <c r="H8" s="87" t="s">
        <v>318</v>
      </c>
      <c r="I8" s="86" t="s">
        <v>318</v>
      </c>
      <c r="J8" s="86" t="s">
        <v>318</v>
      </c>
      <c r="K8" s="86" t="s">
        <v>315</v>
      </c>
      <c r="L8" s="86" t="s">
        <v>315</v>
      </c>
      <c r="M8" s="86" t="s">
        <v>318</v>
      </c>
      <c r="N8" s="88" t="s">
        <v>315</v>
      </c>
      <c r="O8" s="36"/>
      <c r="P8" s="62" t="s">
        <v>315</v>
      </c>
      <c r="Q8" s="17"/>
      <c r="R8" s="117" t="s">
        <v>465</v>
      </c>
    </row>
    <row r="9" spans="1:18">
      <c r="A9" s="20"/>
      <c r="B9" s="21"/>
      <c r="C9" s="89" t="s">
        <v>68</v>
      </c>
      <c r="D9" s="90" t="s">
        <v>321</v>
      </c>
      <c r="E9" s="91" t="s">
        <v>321</v>
      </c>
      <c r="F9" s="92" t="s">
        <v>321</v>
      </c>
      <c r="G9" s="92" t="s">
        <v>321</v>
      </c>
      <c r="H9" s="93" t="s">
        <v>321</v>
      </c>
      <c r="I9" s="92" t="s">
        <v>321</v>
      </c>
      <c r="J9" s="92" t="s">
        <v>321</v>
      </c>
      <c r="K9" s="92" t="s">
        <v>321</v>
      </c>
      <c r="L9" s="92" t="s">
        <v>321</v>
      </c>
      <c r="M9" s="92" t="s">
        <v>321</v>
      </c>
      <c r="N9" s="88" t="s">
        <v>321</v>
      </c>
      <c r="O9" s="36"/>
      <c r="P9" s="104" t="s">
        <v>332</v>
      </c>
      <c r="Q9" s="17"/>
      <c r="R9" s="117" t="s">
        <v>466</v>
      </c>
    </row>
    <row r="10" spans="1:18">
      <c r="A10" s="20"/>
      <c r="B10" s="21"/>
      <c r="C10" s="89" t="s">
        <v>226</v>
      </c>
      <c r="D10" s="90" t="s">
        <v>333</v>
      </c>
      <c r="E10" s="91" t="s">
        <v>333</v>
      </c>
      <c r="F10" s="92" t="s">
        <v>333</v>
      </c>
      <c r="G10" s="92" t="s">
        <v>333</v>
      </c>
      <c r="H10" s="93" t="s">
        <v>333</v>
      </c>
      <c r="I10" s="92" t="s">
        <v>333</v>
      </c>
      <c r="J10" s="92" t="s">
        <v>333</v>
      </c>
      <c r="K10" s="92" t="s">
        <v>333</v>
      </c>
      <c r="L10" s="92" t="s">
        <v>333</v>
      </c>
      <c r="M10" s="92" t="s">
        <v>333</v>
      </c>
      <c r="N10" s="88" t="s">
        <v>333</v>
      </c>
      <c r="O10" s="36"/>
      <c r="P10" s="104" t="s">
        <v>338</v>
      </c>
      <c r="Q10" s="17"/>
      <c r="R10" s="117" t="s">
        <v>467</v>
      </c>
    </row>
    <row r="11" spans="1:18">
      <c r="A11" s="20"/>
      <c r="B11" s="21"/>
      <c r="C11" s="89" t="s">
        <v>80</v>
      </c>
      <c r="D11" s="90" t="s">
        <v>323</v>
      </c>
      <c r="E11" s="91" t="s">
        <v>323</v>
      </c>
      <c r="F11" s="92" t="s">
        <v>323</v>
      </c>
      <c r="G11" s="92" t="s">
        <v>323</v>
      </c>
      <c r="H11" s="93" t="s">
        <v>323</v>
      </c>
      <c r="I11" s="92" t="s">
        <v>337</v>
      </c>
      <c r="J11" s="92" t="s">
        <v>323</v>
      </c>
      <c r="K11" s="92" t="s">
        <v>323</v>
      </c>
      <c r="L11" s="92" t="s">
        <v>323</v>
      </c>
      <c r="M11" s="92" t="s">
        <v>323</v>
      </c>
      <c r="N11" s="88" t="s">
        <v>323</v>
      </c>
      <c r="O11" s="36"/>
      <c r="P11" s="104" t="s">
        <v>323</v>
      </c>
      <c r="Q11" s="17"/>
      <c r="R11" s="117" t="s">
        <v>468</v>
      </c>
    </row>
    <row r="12" spans="1:18">
      <c r="A12" s="20"/>
      <c r="B12" s="21"/>
      <c r="C12" s="94" t="s">
        <v>227</v>
      </c>
      <c r="D12" s="95" t="s">
        <v>309</v>
      </c>
      <c r="E12" s="96" t="s">
        <v>309</v>
      </c>
      <c r="F12" s="82" t="s">
        <v>309</v>
      </c>
      <c r="G12" s="82" t="s">
        <v>309</v>
      </c>
      <c r="H12" s="83" t="s">
        <v>309</v>
      </c>
      <c r="I12" s="82" t="s">
        <v>309</v>
      </c>
      <c r="J12" s="82" t="s">
        <v>309</v>
      </c>
      <c r="K12" s="82" t="s">
        <v>309</v>
      </c>
      <c r="L12" s="82" t="s">
        <v>309</v>
      </c>
      <c r="M12" s="82" t="s">
        <v>309</v>
      </c>
      <c r="N12" s="84" t="s">
        <v>309</v>
      </c>
      <c r="O12" s="36"/>
      <c r="P12" s="104" t="s">
        <v>309</v>
      </c>
      <c r="Q12" s="17"/>
      <c r="R12" s="117" t="s">
        <v>469</v>
      </c>
    </row>
    <row r="13" spans="1:18">
      <c r="A13" s="20"/>
      <c r="B13" s="21"/>
      <c r="C13" s="89" t="s">
        <v>228</v>
      </c>
      <c r="D13" s="97" t="s">
        <v>335</v>
      </c>
      <c r="E13" s="98" t="s">
        <v>320</v>
      </c>
      <c r="F13" s="92" t="s">
        <v>320</v>
      </c>
      <c r="G13" s="92" t="s">
        <v>320</v>
      </c>
      <c r="H13" s="93" t="s">
        <v>320</v>
      </c>
      <c r="I13" s="92" t="s">
        <v>320</v>
      </c>
      <c r="J13" s="92" t="s">
        <v>335</v>
      </c>
      <c r="K13" s="92" t="s">
        <v>320</v>
      </c>
      <c r="L13" s="92" t="s">
        <v>335</v>
      </c>
      <c r="M13" s="92" t="s">
        <v>320</v>
      </c>
      <c r="N13" s="88" t="s">
        <v>320</v>
      </c>
      <c r="O13" s="36"/>
      <c r="P13" s="104" t="s">
        <v>320</v>
      </c>
      <c r="Q13" s="17"/>
      <c r="R13" s="117" t="s">
        <v>470</v>
      </c>
    </row>
    <row r="14" spans="1:18">
      <c r="A14" s="20"/>
      <c r="B14" s="21"/>
      <c r="C14" s="89" t="s">
        <v>49</v>
      </c>
      <c r="D14" s="97" t="s">
        <v>308</v>
      </c>
      <c r="E14" s="98" t="s">
        <v>308</v>
      </c>
      <c r="F14" s="92" t="s">
        <v>308</v>
      </c>
      <c r="G14" s="92" t="s">
        <v>308</v>
      </c>
      <c r="H14" s="93" t="s">
        <v>308</v>
      </c>
      <c r="I14" s="92" t="s">
        <v>308</v>
      </c>
      <c r="J14" s="92" t="s">
        <v>308</v>
      </c>
      <c r="K14" s="92" t="s">
        <v>308</v>
      </c>
      <c r="L14" s="92" t="s">
        <v>308</v>
      </c>
      <c r="M14" s="92" t="s">
        <v>327</v>
      </c>
      <c r="N14" s="88" t="s">
        <v>308</v>
      </c>
      <c r="O14" s="36"/>
      <c r="P14" s="104" t="s">
        <v>327</v>
      </c>
      <c r="Q14" s="17"/>
      <c r="R14" s="117" t="s">
        <v>471</v>
      </c>
    </row>
    <row r="15" spans="1:18">
      <c r="A15" s="20"/>
      <c r="B15" s="21"/>
      <c r="C15" s="89" t="s">
        <v>229</v>
      </c>
      <c r="D15" s="97" t="s">
        <v>322</v>
      </c>
      <c r="E15" s="98" t="s">
        <v>313</v>
      </c>
      <c r="F15" s="92" t="s">
        <v>313</v>
      </c>
      <c r="G15" s="92" t="s">
        <v>313</v>
      </c>
      <c r="H15" s="93" t="s">
        <v>313</v>
      </c>
      <c r="I15" s="92" t="s">
        <v>322</v>
      </c>
      <c r="J15" s="92" t="s">
        <v>322</v>
      </c>
      <c r="K15" s="92" t="s">
        <v>313</v>
      </c>
      <c r="L15" s="92" t="s">
        <v>313</v>
      </c>
      <c r="M15" s="92" t="s">
        <v>313</v>
      </c>
      <c r="N15" s="88" t="s">
        <v>313</v>
      </c>
      <c r="O15" s="36"/>
      <c r="P15" s="104" t="s">
        <v>313</v>
      </c>
      <c r="Q15" s="17"/>
      <c r="R15" s="117" t="s">
        <v>472</v>
      </c>
    </row>
    <row r="16" spans="1:18">
      <c r="A16" s="20"/>
      <c r="B16" s="21"/>
      <c r="C16" s="89" t="s">
        <v>230</v>
      </c>
      <c r="D16" s="97" t="s">
        <v>312</v>
      </c>
      <c r="E16" s="98" t="s">
        <v>312</v>
      </c>
      <c r="F16" s="92" t="s">
        <v>312</v>
      </c>
      <c r="G16" s="92" t="s">
        <v>312</v>
      </c>
      <c r="H16" s="93" t="s">
        <v>312</v>
      </c>
      <c r="I16" s="92" t="s">
        <v>334</v>
      </c>
      <c r="J16" s="92" t="s">
        <v>312</v>
      </c>
      <c r="K16" s="92" t="s">
        <v>312</v>
      </c>
      <c r="L16" s="92" t="s">
        <v>312</v>
      </c>
      <c r="M16" s="92" t="s">
        <v>312</v>
      </c>
      <c r="N16" s="88" t="s">
        <v>312</v>
      </c>
      <c r="O16" s="36"/>
      <c r="P16" s="104" t="s">
        <v>312</v>
      </c>
      <c r="Q16" s="17"/>
      <c r="R16" s="117" t="s">
        <v>474</v>
      </c>
    </row>
    <row r="17" spans="1:18">
      <c r="A17" s="20"/>
      <c r="B17" s="21"/>
      <c r="C17" s="89" t="s">
        <v>101</v>
      </c>
      <c r="D17" s="97" t="s">
        <v>330</v>
      </c>
      <c r="E17" s="98" t="s">
        <v>330</v>
      </c>
      <c r="F17" s="92" t="s">
        <v>330</v>
      </c>
      <c r="G17" s="92" t="s">
        <v>330</v>
      </c>
      <c r="H17" s="93" t="s">
        <v>330</v>
      </c>
      <c r="I17" s="92" t="s">
        <v>326</v>
      </c>
      <c r="J17" s="92" t="s">
        <v>330</v>
      </c>
      <c r="K17" s="92" t="s">
        <v>330</v>
      </c>
      <c r="L17" s="92" t="s">
        <v>330</v>
      </c>
      <c r="M17" s="92" t="s">
        <v>330</v>
      </c>
      <c r="N17" s="88" t="s">
        <v>330</v>
      </c>
      <c r="O17" s="36"/>
      <c r="P17" s="104" t="s">
        <v>330</v>
      </c>
      <c r="Q17" s="17"/>
      <c r="R17" s="117" t="s">
        <v>473</v>
      </c>
    </row>
    <row r="18" spans="1:18">
      <c r="A18" s="20"/>
      <c r="B18" s="21"/>
      <c r="C18" s="89" t="s">
        <v>231</v>
      </c>
      <c r="D18" s="97" t="s">
        <v>314</v>
      </c>
      <c r="E18" s="98" t="s">
        <v>314</v>
      </c>
      <c r="F18" s="92" t="s">
        <v>314</v>
      </c>
      <c r="G18" s="92" t="s">
        <v>314</v>
      </c>
      <c r="H18" s="93" t="s">
        <v>314</v>
      </c>
      <c r="I18" s="92" t="s">
        <v>316</v>
      </c>
      <c r="J18" s="92" t="s">
        <v>314</v>
      </c>
      <c r="K18" s="92" t="s">
        <v>316</v>
      </c>
      <c r="L18" s="92" t="s">
        <v>314</v>
      </c>
      <c r="M18" s="92" t="s">
        <v>316</v>
      </c>
      <c r="N18" s="88" t="s">
        <v>316</v>
      </c>
      <c r="O18" s="36"/>
      <c r="P18" s="104" t="s">
        <v>314</v>
      </c>
      <c r="Q18" s="17"/>
      <c r="R18" s="117" t="s">
        <v>475</v>
      </c>
    </row>
    <row r="19" spans="1:18">
      <c r="A19" s="20"/>
      <c r="B19" s="21"/>
      <c r="C19" s="89" t="s">
        <v>232</v>
      </c>
      <c r="D19" s="97" t="s">
        <v>311</v>
      </c>
      <c r="E19" s="98" t="s">
        <v>311</v>
      </c>
      <c r="F19" s="92" t="s">
        <v>328</v>
      </c>
      <c r="G19" s="92" t="s">
        <v>328</v>
      </c>
      <c r="H19" s="93" t="s">
        <v>328</v>
      </c>
      <c r="I19" s="92" t="s">
        <v>311</v>
      </c>
      <c r="J19" s="92" t="s">
        <v>328</v>
      </c>
      <c r="K19" s="92" t="s">
        <v>328</v>
      </c>
      <c r="L19" s="92" t="s">
        <v>328</v>
      </c>
      <c r="M19" s="92" t="s">
        <v>328</v>
      </c>
      <c r="N19" s="88" t="s">
        <v>328</v>
      </c>
      <c r="O19" s="36"/>
      <c r="P19" s="104" t="s">
        <v>328</v>
      </c>
      <c r="Q19" s="17"/>
      <c r="R19" s="117" t="s">
        <v>476</v>
      </c>
    </row>
    <row r="20" spans="1:18">
      <c r="A20" s="20"/>
      <c r="B20" s="21"/>
      <c r="C20" s="89" t="s">
        <v>233</v>
      </c>
      <c r="D20" s="97" t="s">
        <v>336</v>
      </c>
      <c r="E20" s="98" t="s">
        <v>336</v>
      </c>
      <c r="F20" s="92" t="s">
        <v>336</v>
      </c>
      <c r="G20" s="92" t="s">
        <v>336</v>
      </c>
      <c r="H20" s="93" t="s">
        <v>319</v>
      </c>
      <c r="I20" s="92" t="s">
        <v>336</v>
      </c>
      <c r="J20" s="92" t="s">
        <v>336</v>
      </c>
      <c r="K20" s="92" t="s">
        <v>336</v>
      </c>
      <c r="L20" s="92" t="s">
        <v>336</v>
      </c>
      <c r="M20" s="92" t="s">
        <v>336</v>
      </c>
      <c r="N20" s="88" t="s">
        <v>336</v>
      </c>
      <c r="O20" s="36"/>
      <c r="P20" s="104" t="s">
        <v>319</v>
      </c>
      <c r="Q20" s="17"/>
      <c r="R20" s="117" t="s">
        <v>477</v>
      </c>
    </row>
    <row r="21" spans="1:18">
      <c r="A21" s="20"/>
      <c r="B21" s="21"/>
      <c r="C21" s="89"/>
      <c r="D21" s="97"/>
      <c r="E21" s="98"/>
      <c r="F21" s="92"/>
      <c r="G21" s="92"/>
      <c r="H21" s="93"/>
      <c r="I21" s="92"/>
      <c r="J21" s="92"/>
      <c r="K21" s="92"/>
      <c r="L21" s="92"/>
      <c r="M21" s="92"/>
      <c r="N21" s="88"/>
      <c r="O21" s="36"/>
      <c r="P21" s="104"/>
      <c r="Q21" s="17"/>
      <c r="R21" s="117"/>
    </row>
    <row r="22" spans="1:18" ht="16" thickBot="1">
      <c r="A22" s="20"/>
      <c r="B22" s="21"/>
      <c r="C22" s="99"/>
      <c r="D22" s="100"/>
      <c r="E22" s="101"/>
      <c r="F22" s="102"/>
      <c r="G22" s="102"/>
      <c r="H22" s="100"/>
      <c r="I22" s="102"/>
      <c r="J22" s="102"/>
      <c r="K22" s="102"/>
      <c r="L22" s="102"/>
      <c r="M22" s="102"/>
      <c r="N22" s="103"/>
      <c r="O22" s="36"/>
      <c r="P22" s="105"/>
      <c r="Q22" s="17"/>
      <c r="R22" s="118"/>
    </row>
    <row r="23" spans="1:18" ht="16" thickTop="1">
      <c r="A23" s="20"/>
      <c r="B23" s="6"/>
      <c r="C23" s="37"/>
      <c r="D23" s="38"/>
      <c r="E23" s="39"/>
      <c r="F23" s="38"/>
      <c r="G23" s="38"/>
      <c r="H23" s="40"/>
      <c r="I23" s="38"/>
      <c r="J23" s="38"/>
      <c r="K23" s="38"/>
      <c r="L23" s="38"/>
      <c r="M23" s="38"/>
      <c r="N23" s="38"/>
      <c r="O23" s="36"/>
      <c r="P23" s="41" t="s">
        <v>16</v>
      </c>
      <c r="Q23" s="17"/>
      <c r="R23" s="2"/>
    </row>
    <row r="24" spans="1:18">
      <c r="A24" s="20"/>
      <c r="B24" s="6"/>
      <c r="C24" s="42" t="s">
        <v>15</v>
      </c>
      <c r="D24" s="82">
        <v>65</v>
      </c>
      <c r="E24" s="107">
        <v>48</v>
      </c>
      <c r="F24" s="82">
        <v>53</v>
      </c>
      <c r="G24" s="82">
        <v>42</v>
      </c>
      <c r="H24" s="83">
        <v>54</v>
      </c>
      <c r="I24" s="82">
        <v>41</v>
      </c>
      <c r="J24" s="82">
        <v>40</v>
      </c>
      <c r="K24" s="82">
        <v>37</v>
      </c>
      <c r="L24" s="82">
        <v>47</v>
      </c>
      <c r="M24" s="82">
        <v>58</v>
      </c>
      <c r="N24" s="82">
        <v>49</v>
      </c>
      <c r="O24" s="36"/>
      <c r="P24" s="106">
        <v>44</v>
      </c>
      <c r="Q24" s="17"/>
      <c r="R24" s="2"/>
    </row>
    <row r="25" spans="1:18">
      <c r="A25" s="20"/>
      <c r="B25" s="6"/>
      <c r="C25" s="43"/>
      <c r="D25" s="38"/>
      <c r="E25" s="39"/>
      <c r="F25" s="38"/>
      <c r="G25" s="38"/>
      <c r="H25" s="40"/>
      <c r="I25" s="38"/>
      <c r="J25" s="38"/>
      <c r="K25" s="38"/>
      <c r="L25" s="38"/>
      <c r="M25" s="38"/>
      <c r="N25" s="38"/>
      <c r="O25" s="36"/>
      <c r="P25" s="36"/>
      <c r="Q25" s="17"/>
      <c r="R25" s="2"/>
    </row>
    <row r="26" spans="1:18">
      <c r="A26" s="20"/>
      <c r="B26" s="6"/>
      <c r="C26" s="44" t="s">
        <v>13</v>
      </c>
      <c r="D26" s="45" t="str" cm="1">
        <f t="array" ref="D26">SUMPRODUCT(--(D7:D22=$P$7:$P$22), --($P$7:$P$22&lt;&gt;"")) &amp; "-" &amp; SUMPRODUCT(--(D7:D22&lt;&gt;$P$7:$P$22), --($P$7:$P$22&lt;&gt;""))</f>
        <v>6-8</v>
      </c>
      <c r="E26" s="46" t="str" cm="1">
        <f t="array" ref="E26">SUMPRODUCT(--(E7:E22=$P$7:$P$22), --($P$7:$P$22&lt;&gt;"")) &amp; "-" &amp; SUMPRODUCT(--(E7:E22&lt;&gt;$P$7:$P$22), --($P$7:$P$22&lt;&gt;""))</f>
        <v>9-5</v>
      </c>
      <c r="F26" s="45" t="str" cm="1">
        <f t="array" ref="F26">SUMPRODUCT(--(F7:F22=$P$7:$P$22), --($P$7:$P$22&lt;&gt;"")) &amp; "-" &amp; SUMPRODUCT(--(F7:F22&lt;&gt;$P$7:$P$22), --($P$7:$P$22&lt;&gt;""))</f>
        <v>8-6</v>
      </c>
      <c r="G26" s="45" t="str" cm="1">
        <f t="array" ref="G26">SUMPRODUCT(--(G7:G22=$P$7:$P$22), --($P$7:$P$22&lt;&gt;"")) &amp; "-" &amp; SUMPRODUCT(--(G7:G22&lt;&gt;$P$7:$P$22), --($P$7:$P$22&lt;&gt;""))</f>
        <v>10-4</v>
      </c>
      <c r="H26" s="47" t="str" cm="1">
        <f t="array" ref="H26">SUMPRODUCT(--(H7:H22=$P$7:$P$22), --($P$7:$P$22&lt;&gt;"")) &amp; "-" &amp; SUMPRODUCT(--(H7:H22&lt;&gt;$P$7:$P$22), --($P$7:$P$22&lt;&gt;""))</f>
        <v>10-4</v>
      </c>
      <c r="I26" s="45" t="str" cm="1">
        <f t="array" ref="I26">SUMPRODUCT(--(I7:I22=$P$7:$P$22), --($P$7:$P$22&lt;&gt;"")) &amp; "-" &amp; SUMPRODUCT(--(I7:I22&lt;&gt;$P$7:$P$22), --($P$7:$P$22&lt;&gt;""))</f>
        <v>3-11</v>
      </c>
      <c r="J26" s="45" t="str" cm="1">
        <f t="array" ref="J26">SUMPRODUCT(--(J7:J22=$P$7:$P$22), --($P$7:$P$22&lt;&gt;"")) &amp; "-" &amp; SUMPRODUCT(--(J7:J22&lt;&gt;$P$7:$P$22), --($P$7:$P$22&lt;&gt;""))</f>
        <v>7-7</v>
      </c>
      <c r="K26" s="45" t="str" cm="1">
        <f t="array" ref="K26">SUMPRODUCT(--(K7:K22=$P$7:$P$22), --($P$7:$P$22&lt;&gt;"")) &amp; "-" &amp; SUMPRODUCT(--(K7:K22&lt;&gt;$P$7:$P$22), --($P$7:$P$22&lt;&gt;""))</f>
        <v>8-6</v>
      </c>
      <c r="L26" s="45" t="str" cm="1">
        <f t="array" ref="L26">SUMPRODUCT(--(L7:L22=$P$7:$P$22), --($P$7:$P$22&lt;&gt;"")) &amp; "-" &amp; SUMPRODUCT(--(L7:L22&lt;&gt;$P$7:$P$22), --($P$7:$P$22&lt;&gt;""))</f>
        <v>9-5</v>
      </c>
      <c r="M26" s="45" t="str" cm="1">
        <f t="array" ref="M26">SUMPRODUCT(--(M7:M22=$P$7:$P$22), --($P$7:$P$22&lt;&gt;"")) &amp; "-" &amp; SUMPRODUCT(--(M7:M22&lt;&gt;$P$7:$P$22), --($P$7:$P$22&lt;&gt;""))</f>
        <v>9-5</v>
      </c>
      <c r="N26" s="45" t="str" cm="1">
        <f t="array" ref="N26">SUMPRODUCT(--(N7:N22=$P$7:$P$22), --($P$7:$P$22&lt;&gt;"")) &amp; "-" &amp; SUMPRODUCT(--(N7:N22&lt;&gt;$P$7:$P$22), --($P$7:$P$22&lt;&gt;""))</f>
        <v>9-5</v>
      </c>
      <c r="O26" s="36"/>
      <c r="P26" s="36"/>
      <c r="Q26" s="17"/>
      <c r="R26" s="2"/>
    </row>
    <row r="27" spans="1:18">
      <c r="A27" s="20"/>
      <c r="B27" s="6"/>
      <c r="C27" s="7"/>
      <c r="D27" s="11">
        <f>VALUE(LEFT(D26,FIND("-",D26)-1)) - VALUE(MID(D26,FIND("-",D26)+1,LEN(D26)-FIND("-",D26)))</f>
        <v>-2</v>
      </c>
      <c r="E27" s="11">
        <f t="shared" ref="E27:N27" si="0">VALUE(LEFT(E26,FIND("-",E26)-1)) - VALUE(MID(E26,FIND("-",E26)+1,LEN(E26)-FIND("-",E26)))</f>
        <v>4</v>
      </c>
      <c r="F27" s="11">
        <f t="shared" si="0"/>
        <v>2</v>
      </c>
      <c r="G27" s="11">
        <f t="shared" si="0"/>
        <v>6</v>
      </c>
      <c r="H27" s="11">
        <f t="shared" si="0"/>
        <v>6</v>
      </c>
      <c r="I27" s="11">
        <f t="shared" si="0"/>
        <v>-8</v>
      </c>
      <c r="J27" s="11">
        <f t="shared" si="0"/>
        <v>0</v>
      </c>
      <c r="K27" s="11">
        <f t="shared" si="0"/>
        <v>2</v>
      </c>
      <c r="L27" s="11">
        <f t="shared" si="0"/>
        <v>4</v>
      </c>
      <c r="M27" s="11">
        <f t="shared" si="0"/>
        <v>4</v>
      </c>
      <c r="N27" s="11">
        <f t="shared" si="0"/>
        <v>4</v>
      </c>
      <c r="O27" s="6"/>
      <c r="P27" s="6"/>
      <c r="Q27" s="17"/>
      <c r="R27" s="2"/>
    </row>
    <row r="28" spans="1:18" ht="24" customHeight="1">
      <c r="A28" s="20"/>
      <c r="B28" s="12"/>
      <c r="C28" s="199" t="s">
        <v>17</v>
      </c>
      <c r="D28" s="200"/>
      <c r="E28" s="201" t="str" cm="1">
        <f t="array" ref="E28">IF(P24="", "",
   _xlfn.LET(
      _xlpm.scores, D27:N27,
      _xlpm.names, D5:N5,
      _xlpm.tiebreaks, D24:N24,
      _xlpm.guesses, D26:N26,
      _xlpm.maxScore, MAX(_xlpm.scores),
      _xlpm.topScorers, IF(_xlpm.scores=_xlpm.maxScore, 1, 0),
      _xlpm.tiebreakDiffs, IF(_xlpm.topScorers, ABS(_xlpm.tiebreaks - P24), ""),
      _xlpm.minDiff, MIN(IF(_xlpm.tiebreakDiffs&lt;&gt;"", _xlpm.tiebreakDiffs)),
      _xlpm.winners, IF((_xlpm.scores=_xlpm.maxScore)*(ABS(_xlpm.tiebreaks - P24)=_xlpm.minDiff), _xlpm.names, ""),
      _xlpm.guessMatch, INDEX(_xlpm.guesses, MATCH(1, (_xlpm.scores=_xlpm.maxScore)*(ABS(_xlpm.tiebreaks - P24)=_xlpm.minDiff), 0)),
      _xlpm.winnerList, _xlfn.TEXTJOIN(", ", TRUE, _xlpm.winners),
      IF(COUNTA(_xlfn._xlws.FILTER(_xlpm.winners, _xlpm.winners&lt;&gt;""))=1,
         _xlpm.winnerList &amp; " (" &amp; _xlpm.guessMatch &amp; ")",
         _xlpm.winnerList
      )
   )
)</f>
        <v>Cowan (10-4)</v>
      </c>
      <c r="F28" s="202"/>
      <c r="G28" s="203"/>
      <c r="H28" s="6"/>
      <c r="I28" s="6"/>
      <c r="J28" s="6"/>
      <c r="K28" s="6"/>
      <c r="L28" s="6"/>
      <c r="M28" s="6"/>
      <c r="N28" s="6"/>
      <c r="O28" s="6"/>
      <c r="P28" s="6"/>
      <c r="Q28" s="17"/>
    </row>
    <row r="29" spans="1:18" ht="15" customHeight="1" thickBot="1">
      <c r="A29" s="20"/>
      <c r="B29" s="22"/>
      <c r="C29" s="32"/>
      <c r="D29" s="32"/>
      <c r="E29" s="33"/>
      <c r="F29" s="33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5"/>
    </row>
    <row r="30" spans="1:18" ht="16" thickTop="1">
      <c r="D30" s="1"/>
    </row>
    <row r="35" spans="9:9" ht="16" thickBot="1"/>
    <row r="36" spans="9:9" ht="16" thickTop="1">
      <c r="I36" s="13"/>
    </row>
  </sheetData>
  <sheetProtection selectLockedCells="1"/>
  <customSheetViews>
    <customSheetView guid="{096EED88-6BAE-D941-AE0E-0C5B75B09829}">
      <selection activeCell="E29" sqref="E29"/>
      <pageMargins left="0.7" right="0.7" top="0.75" bottom="0.75" header="0.3" footer="0.3"/>
      <pageSetup orientation="portrait" r:id="rId1"/>
    </customSheetView>
  </customSheetViews>
  <mergeCells count="17">
    <mergeCell ref="N5:N6"/>
    <mergeCell ref="P5:P6"/>
    <mergeCell ref="R5:R6"/>
    <mergeCell ref="C28:D28"/>
    <mergeCell ref="E28:G28"/>
    <mergeCell ref="C3:P3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</mergeCells>
  <conditionalFormatting sqref="D7:N22">
    <cfRule type="expression" dxfId="37" priority="3">
      <formula>AND($P7=D7, $P7&lt;&gt;"")</formula>
    </cfRule>
    <cfRule type="expression" dxfId="36" priority="4">
      <formula>AND($P7&lt;&gt;D7, $P7&lt;&gt;"")</formula>
    </cfRule>
  </conditionalFormatting>
  <conditionalFormatting sqref="D26:N26">
    <cfRule type="expression" dxfId="35" priority="1">
      <formula>AND(--LEFT(D26,FIND("-",D26)-1) = MAX(--LEFT($D$26:$N$26,FIND("-",$D$26:$N$26)-1)), COUNTIF($D$26:$N$26, MAX(--LEFT($D$26:$N$26,FIND("-",$D$26:$N$26)-1)) &amp; "-*") &gt; 1)</formula>
    </cfRule>
    <cfRule type="expression" dxfId="34" priority="2">
      <formula>AND(--LEFT(D26,FIND("-",D26)-1) = MAX(--LEFT($D$26:$N$26,FIND("-",$D$26:$N$26)-1)), COUNTIF($D$26:$N$26, MAX(--LEFT($D$26:$N$26,FIND("-",$D$26:$N$26)-1)) &amp; "-*") = 1)</formula>
    </cfRule>
  </conditionalFormatting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5" name="Button 1">
              <controlPr defaultSize="0" print="0" autoFill="0" autoPict="0" macro="[0]!UpdateCurrentSheet">
                <anchor moveWithCells="1" sizeWithCells="1">
                  <from>
                    <xdr:col>17</xdr:col>
                    <xdr:colOff>508000</xdr:colOff>
                    <xdr:row>2</xdr:row>
                    <xdr:rowOff>50800</xdr:rowOff>
                  </from>
                  <to>
                    <xdr:col>17</xdr:col>
                    <xdr:colOff>1155700</xdr:colOff>
                    <xdr:row>2</xdr:row>
                    <xdr:rowOff>368300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AF914-5CC2-472E-8080-5EA80282AC92}">
  <sheetPr codeName="Sheet8"/>
  <dimension ref="A2:R36"/>
  <sheetViews>
    <sheetView workbookViewId="0">
      <selection activeCell="E29" sqref="E29"/>
    </sheetView>
  </sheetViews>
  <sheetFormatPr baseColWidth="10" defaultColWidth="8.83203125" defaultRowHeight="15"/>
  <cols>
    <col min="2" max="2" width="1.6640625" customWidth="1"/>
    <col min="3" max="3" width="11.6640625" style="1" bestFit="1" customWidth="1"/>
    <col min="4" max="14" width="13.1640625" customWidth="1"/>
    <col min="15" max="15" width="1.6640625" customWidth="1"/>
    <col min="16" max="16" width="15.5" bestFit="1" customWidth="1"/>
    <col min="17" max="17" width="1.6640625" customWidth="1"/>
    <col min="18" max="18" width="24.83203125" customWidth="1"/>
    <col min="19" max="19" width="1.83203125" customWidth="1"/>
  </cols>
  <sheetData>
    <row r="2" spans="1:18" ht="15" customHeight="1" thickBot="1">
      <c r="B2" s="31"/>
      <c r="C2" s="30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</row>
    <row r="3" spans="1:18" ht="32.25" customHeight="1" thickBot="1">
      <c r="B3" s="27"/>
      <c r="C3" s="186" t="s">
        <v>41</v>
      </c>
      <c r="D3" s="186"/>
      <c r="E3" s="186"/>
      <c r="F3" s="186"/>
      <c r="G3" s="186"/>
      <c r="H3" s="186"/>
      <c r="I3" s="186"/>
      <c r="J3" s="186"/>
      <c r="K3" s="186"/>
      <c r="L3" s="186"/>
      <c r="M3" s="186"/>
      <c r="N3" s="186"/>
      <c r="O3" s="186"/>
      <c r="P3" s="186"/>
      <c r="Q3" s="28"/>
    </row>
    <row r="4" spans="1:18" ht="15" customHeight="1" thickBot="1">
      <c r="A4" s="20"/>
      <c r="B4" s="19"/>
      <c r="C4" s="14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6"/>
      <c r="P4" s="6"/>
      <c r="Q4" s="16"/>
      <c r="R4" s="2"/>
    </row>
    <row r="5" spans="1:18" ht="23.25" customHeight="1" thickTop="1">
      <c r="A5" s="20"/>
      <c r="B5" s="6"/>
      <c r="C5" s="187" t="s">
        <v>18</v>
      </c>
      <c r="D5" s="189" t="s">
        <v>14</v>
      </c>
      <c r="E5" s="191" t="s">
        <v>2</v>
      </c>
      <c r="F5" s="193" t="s">
        <v>3</v>
      </c>
      <c r="G5" s="193" t="s">
        <v>4</v>
      </c>
      <c r="H5" s="193" t="s">
        <v>5</v>
      </c>
      <c r="I5" s="189" t="s">
        <v>6</v>
      </c>
      <c r="J5" s="189" t="s">
        <v>7</v>
      </c>
      <c r="K5" s="189" t="s">
        <v>8</v>
      </c>
      <c r="L5" s="191" t="s">
        <v>9</v>
      </c>
      <c r="M5" s="193" t="s">
        <v>10</v>
      </c>
      <c r="N5" s="189" t="s">
        <v>11</v>
      </c>
      <c r="O5" s="6"/>
      <c r="P5" s="195" t="s">
        <v>12</v>
      </c>
      <c r="Q5" s="17"/>
      <c r="R5" s="204" t="s">
        <v>389</v>
      </c>
    </row>
    <row r="6" spans="1:18" ht="8" customHeight="1" thickBot="1">
      <c r="A6" s="20"/>
      <c r="B6" s="6"/>
      <c r="C6" s="188"/>
      <c r="D6" s="190"/>
      <c r="E6" s="192"/>
      <c r="F6" s="194"/>
      <c r="G6" s="194"/>
      <c r="H6" s="194"/>
      <c r="I6" s="190"/>
      <c r="J6" s="190"/>
      <c r="K6" s="190"/>
      <c r="L6" s="192"/>
      <c r="M6" s="194"/>
      <c r="N6" s="190"/>
      <c r="O6" s="6"/>
      <c r="P6" s="196"/>
      <c r="Q6" s="17"/>
      <c r="R6" s="205"/>
    </row>
    <row r="7" spans="1:18" ht="16" thickTop="1">
      <c r="A7" s="20"/>
      <c r="B7" s="21"/>
      <c r="C7" s="81" t="s">
        <v>27</v>
      </c>
      <c r="D7" s="51" t="s">
        <v>313</v>
      </c>
      <c r="E7" s="52" t="s">
        <v>313</v>
      </c>
      <c r="F7" s="53" t="s">
        <v>313</v>
      </c>
      <c r="G7" s="82" t="s">
        <v>313</v>
      </c>
      <c r="H7" s="83"/>
      <c r="I7" s="82" t="s">
        <v>313</v>
      </c>
      <c r="J7" s="82" t="s">
        <v>313</v>
      </c>
      <c r="K7" s="82" t="s">
        <v>313</v>
      </c>
      <c r="L7" s="82" t="s">
        <v>313</v>
      </c>
      <c r="M7" s="82" t="s">
        <v>313</v>
      </c>
      <c r="N7" s="84" t="s">
        <v>313</v>
      </c>
      <c r="O7" s="36"/>
      <c r="P7" s="56" t="s">
        <v>313</v>
      </c>
      <c r="Q7" s="17"/>
      <c r="R7" s="117" t="s">
        <v>478</v>
      </c>
    </row>
    <row r="8" spans="1:18">
      <c r="A8" s="20"/>
      <c r="B8" s="21"/>
      <c r="C8" s="85" t="s">
        <v>234</v>
      </c>
      <c r="D8" s="57" t="s">
        <v>308</v>
      </c>
      <c r="E8" s="58" t="s">
        <v>308</v>
      </c>
      <c r="F8" s="59" t="s">
        <v>308</v>
      </c>
      <c r="G8" s="86" t="s">
        <v>308</v>
      </c>
      <c r="H8" s="87"/>
      <c r="I8" s="86" t="s">
        <v>308</v>
      </c>
      <c r="J8" s="86" t="s">
        <v>308</v>
      </c>
      <c r="K8" s="86" t="s">
        <v>308</v>
      </c>
      <c r="L8" s="86" t="s">
        <v>308</v>
      </c>
      <c r="M8" s="86" t="s">
        <v>308</v>
      </c>
      <c r="N8" s="88" t="s">
        <v>308</v>
      </c>
      <c r="O8" s="36"/>
      <c r="P8" s="62" t="s">
        <v>308</v>
      </c>
      <c r="Q8" s="17"/>
      <c r="R8" s="117" t="s">
        <v>479</v>
      </c>
    </row>
    <row r="9" spans="1:18">
      <c r="A9" s="20"/>
      <c r="B9" s="21"/>
      <c r="C9" s="89" t="s">
        <v>235</v>
      </c>
      <c r="D9" s="90" t="s">
        <v>315</v>
      </c>
      <c r="E9" s="91" t="s">
        <v>315</v>
      </c>
      <c r="F9" s="92" t="s">
        <v>315</v>
      </c>
      <c r="G9" s="92" t="s">
        <v>315</v>
      </c>
      <c r="H9" s="93"/>
      <c r="I9" s="92" t="s">
        <v>315</v>
      </c>
      <c r="J9" s="92" t="s">
        <v>315</v>
      </c>
      <c r="K9" s="92" t="s">
        <v>315</v>
      </c>
      <c r="L9" s="92" t="s">
        <v>315</v>
      </c>
      <c r="M9" s="92" t="s">
        <v>315</v>
      </c>
      <c r="N9" s="88" t="s">
        <v>315</v>
      </c>
      <c r="O9" s="36"/>
      <c r="P9" s="104" t="s">
        <v>315</v>
      </c>
      <c r="Q9" s="17"/>
      <c r="R9" s="117" t="s">
        <v>480</v>
      </c>
    </row>
    <row r="10" spans="1:18">
      <c r="A10" s="20"/>
      <c r="B10" s="21"/>
      <c r="C10" s="89" t="s">
        <v>74</v>
      </c>
      <c r="D10" s="90" t="s">
        <v>314</v>
      </c>
      <c r="E10" s="91" t="s">
        <v>314</v>
      </c>
      <c r="F10" s="92" t="s">
        <v>314</v>
      </c>
      <c r="G10" s="92" t="s">
        <v>314</v>
      </c>
      <c r="H10" s="93"/>
      <c r="I10" s="92" t="s">
        <v>314</v>
      </c>
      <c r="J10" s="92" t="s">
        <v>314</v>
      </c>
      <c r="K10" s="92" t="s">
        <v>314</v>
      </c>
      <c r="L10" s="92" t="s">
        <v>314</v>
      </c>
      <c r="M10" s="92" t="s">
        <v>314</v>
      </c>
      <c r="N10" s="88" t="s">
        <v>314</v>
      </c>
      <c r="O10" s="36"/>
      <c r="P10" s="104" t="s">
        <v>329</v>
      </c>
      <c r="Q10" s="17"/>
      <c r="R10" s="117" t="s">
        <v>483</v>
      </c>
    </row>
    <row r="11" spans="1:18">
      <c r="A11" s="20"/>
      <c r="B11" s="21"/>
      <c r="C11" s="89" t="s">
        <v>236</v>
      </c>
      <c r="D11" s="90" t="s">
        <v>332</v>
      </c>
      <c r="E11" s="91" t="s">
        <v>332</v>
      </c>
      <c r="F11" s="92" t="s">
        <v>332</v>
      </c>
      <c r="G11" s="92" t="s">
        <v>331</v>
      </c>
      <c r="H11" s="93"/>
      <c r="I11" s="92" t="s">
        <v>332</v>
      </c>
      <c r="J11" s="92" t="s">
        <v>331</v>
      </c>
      <c r="K11" s="92" t="s">
        <v>331</v>
      </c>
      <c r="L11" s="92" t="s">
        <v>332</v>
      </c>
      <c r="M11" s="92" t="s">
        <v>331</v>
      </c>
      <c r="N11" s="88" t="s">
        <v>331</v>
      </c>
      <c r="O11" s="36"/>
      <c r="P11" s="104" t="s">
        <v>331</v>
      </c>
      <c r="Q11" s="17"/>
      <c r="R11" s="117" t="s">
        <v>484</v>
      </c>
    </row>
    <row r="12" spans="1:18">
      <c r="A12" s="20"/>
      <c r="B12" s="21"/>
      <c r="C12" s="94" t="s">
        <v>237</v>
      </c>
      <c r="D12" s="95" t="s">
        <v>325</v>
      </c>
      <c r="E12" s="96" t="s">
        <v>310</v>
      </c>
      <c r="F12" s="82" t="s">
        <v>325</v>
      </c>
      <c r="G12" s="82" t="s">
        <v>325</v>
      </c>
      <c r="H12" s="83"/>
      <c r="I12" s="82" t="s">
        <v>325</v>
      </c>
      <c r="J12" s="82" t="s">
        <v>325</v>
      </c>
      <c r="K12" s="82" t="s">
        <v>325</v>
      </c>
      <c r="L12" s="82" t="s">
        <v>325</v>
      </c>
      <c r="M12" s="82" t="s">
        <v>325</v>
      </c>
      <c r="N12" s="84" t="s">
        <v>325</v>
      </c>
      <c r="O12" s="36"/>
      <c r="P12" s="104" t="s">
        <v>310</v>
      </c>
      <c r="Q12" s="17"/>
      <c r="R12" s="117" t="s">
        <v>481</v>
      </c>
    </row>
    <row r="13" spans="1:18">
      <c r="A13" s="20"/>
      <c r="B13" s="21"/>
      <c r="C13" s="89" t="s">
        <v>238</v>
      </c>
      <c r="D13" s="97" t="s">
        <v>317</v>
      </c>
      <c r="E13" s="98" t="s">
        <v>309</v>
      </c>
      <c r="F13" s="92" t="s">
        <v>309</v>
      </c>
      <c r="G13" s="92" t="s">
        <v>309</v>
      </c>
      <c r="H13" s="93"/>
      <c r="I13" s="92" t="s">
        <v>317</v>
      </c>
      <c r="J13" s="92" t="s">
        <v>317</v>
      </c>
      <c r="K13" s="92" t="s">
        <v>317</v>
      </c>
      <c r="L13" s="92" t="s">
        <v>317</v>
      </c>
      <c r="M13" s="92" t="s">
        <v>309</v>
      </c>
      <c r="N13" s="88" t="s">
        <v>317</v>
      </c>
      <c r="O13" s="36"/>
      <c r="P13" s="104" t="s">
        <v>309</v>
      </c>
      <c r="Q13" s="17"/>
      <c r="R13" s="117" t="s">
        <v>485</v>
      </c>
    </row>
    <row r="14" spans="1:18">
      <c r="A14" s="20"/>
      <c r="B14" s="21"/>
      <c r="C14" s="89" t="s">
        <v>145</v>
      </c>
      <c r="D14" s="97" t="s">
        <v>338</v>
      </c>
      <c r="E14" s="98" t="s">
        <v>338</v>
      </c>
      <c r="F14" s="92" t="s">
        <v>338</v>
      </c>
      <c r="G14" s="92" t="s">
        <v>338</v>
      </c>
      <c r="H14" s="93"/>
      <c r="I14" s="92" t="s">
        <v>338</v>
      </c>
      <c r="J14" s="92" t="s">
        <v>338</v>
      </c>
      <c r="K14" s="92" t="s">
        <v>338</v>
      </c>
      <c r="L14" s="92" t="s">
        <v>338</v>
      </c>
      <c r="M14" s="92" t="s">
        <v>338</v>
      </c>
      <c r="N14" s="88" t="s">
        <v>338</v>
      </c>
      <c r="O14" s="36"/>
      <c r="P14" s="104" t="s">
        <v>326</v>
      </c>
      <c r="Q14" s="17"/>
      <c r="R14" s="117" t="s">
        <v>482</v>
      </c>
    </row>
    <row r="15" spans="1:18">
      <c r="A15" s="20"/>
      <c r="B15" s="21"/>
      <c r="C15" s="89" t="s">
        <v>22</v>
      </c>
      <c r="D15" s="97" t="s">
        <v>312</v>
      </c>
      <c r="E15" s="98" t="s">
        <v>312</v>
      </c>
      <c r="F15" s="92" t="s">
        <v>312</v>
      </c>
      <c r="G15" s="92" t="s">
        <v>312</v>
      </c>
      <c r="H15" s="93"/>
      <c r="I15" s="92" t="s">
        <v>312</v>
      </c>
      <c r="J15" s="92" t="s">
        <v>312</v>
      </c>
      <c r="K15" s="92" t="s">
        <v>312</v>
      </c>
      <c r="L15" s="92" t="s">
        <v>312</v>
      </c>
      <c r="M15" s="92" t="s">
        <v>322</v>
      </c>
      <c r="N15" s="88" t="s">
        <v>322</v>
      </c>
      <c r="O15" s="36"/>
      <c r="P15" s="104" t="s">
        <v>322</v>
      </c>
      <c r="Q15" s="17"/>
      <c r="R15" s="117" t="s">
        <v>486</v>
      </c>
    </row>
    <row r="16" spans="1:18">
      <c r="A16" s="20"/>
      <c r="B16" s="21"/>
      <c r="C16" s="89" t="s">
        <v>108</v>
      </c>
      <c r="D16" s="97" t="s">
        <v>328</v>
      </c>
      <c r="E16" s="98" t="s">
        <v>328</v>
      </c>
      <c r="F16" s="92" t="s">
        <v>328</v>
      </c>
      <c r="G16" s="92" t="s">
        <v>328</v>
      </c>
      <c r="H16" s="93"/>
      <c r="I16" s="92" t="s">
        <v>328</v>
      </c>
      <c r="J16" s="92" t="s">
        <v>328</v>
      </c>
      <c r="K16" s="92" t="s">
        <v>328</v>
      </c>
      <c r="L16" s="92" t="s">
        <v>328</v>
      </c>
      <c r="M16" s="92" t="s">
        <v>328</v>
      </c>
      <c r="N16" s="88" t="s">
        <v>328</v>
      </c>
      <c r="O16" s="36"/>
      <c r="P16" s="104" t="s">
        <v>328</v>
      </c>
      <c r="Q16" s="17"/>
      <c r="R16" s="117" t="s">
        <v>487</v>
      </c>
    </row>
    <row r="17" spans="1:18">
      <c r="A17" s="20"/>
      <c r="B17" s="21"/>
      <c r="C17" s="89" t="s">
        <v>45</v>
      </c>
      <c r="D17" s="97" t="s">
        <v>330</v>
      </c>
      <c r="E17" s="98" t="s">
        <v>330</v>
      </c>
      <c r="F17" s="92" t="s">
        <v>320</v>
      </c>
      <c r="G17" s="92" t="s">
        <v>330</v>
      </c>
      <c r="H17" s="93"/>
      <c r="I17" s="92" t="s">
        <v>330</v>
      </c>
      <c r="J17" s="92" t="s">
        <v>330</v>
      </c>
      <c r="K17" s="92" t="s">
        <v>320</v>
      </c>
      <c r="L17" s="92" t="s">
        <v>330</v>
      </c>
      <c r="M17" s="92" t="s">
        <v>330</v>
      </c>
      <c r="N17" s="88" t="s">
        <v>330</v>
      </c>
      <c r="O17" s="36"/>
      <c r="P17" s="104" t="s">
        <v>330</v>
      </c>
      <c r="Q17" s="17"/>
      <c r="R17" s="117" t="s">
        <v>488</v>
      </c>
    </row>
    <row r="18" spans="1:18">
      <c r="A18" s="20"/>
      <c r="B18" s="21"/>
      <c r="C18" s="89" t="s">
        <v>239</v>
      </c>
      <c r="D18" s="97" t="s">
        <v>321</v>
      </c>
      <c r="E18" s="98" t="s">
        <v>321</v>
      </c>
      <c r="F18" s="92" t="s">
        <v>321</v>
      </c>
      <c r="G18" s="92" t="s">
        <v>321</v>
      </c>
      <c r="H18" s="93"/>
      <c r="I18" s="92" t="s">
        <v>321</v>
      </c>
      <c r="J18" s="92" t="s">
        <v>321</v>
      </c>
      <c r="K18" s="92" t="s">
        <v>321</v>
      </c>
      <c r="L18" s="92" t="s">
        <v>321</v>
      </c>
      <c r="M18" s="92" t="s">
        <v>321</v>
      </c>
      <c r="N18" s="88" t="s">
        <v>321</v>
      </c>
      <c r="O18" s="36"/>
      <c r="P18" s="104" t="s">
        <v>321</v>
      </c>
      <c r="Q18" s="17"/>
      <c r="R18" s="117" t="s">
        <v>489</v>
      </c>
    </row>
    <row r="19" spans="1:18">
      <c r="A19" s="20"/>
      <c r="B19" s="21"/>
      <c r="C19" s="89" t="s">
        <v>44</v>
      </c>
      <c r="D19" s="97" t="s">
        <v>323</v>
      </c>
      <c r="E19" s="98" t="s">
        <v>323</v>
      </c>
      <c r="F19" s="92" t="s">
        <v>323</v>
      </c>
      <c r="G19" s="92" t="s">
        <v>323</v>
      </c>
      <c r="H19" s="93"/>
      <c r="I19" s="92" t="s">
        <v>323</v>
      </c>
      <c r="J19" s="92" t="s">
        <v>323</v>
      </c>
      <c r="K19" s="92" t="s">
        <v>323</v>
      </c>
      <c r="L19" s="92" t="s">
        <v>327</v>
      </c>
      <c r="M19" s="92" t="s">
        <v>323</v>
      </c>
      <c r="N19" s="88" t="s">
        <v>323</v>
      </c>
      <c r="O19" s="36"/>
      <c r="P19" s="104" t="s">
        <v>323</v>
      </c>
      <c r="Q19" s="17"/>
      <c r="R19" s="117" t="s">
        <v>490</v>
      </c>
    </row>
    <row r="20" spans="1:18">
      <c r="A20" s="20"/>
      <c r="B20" s="21"/>
      <c r="C20" s="89" t="s">
        <v>240</v>
      </c>
      <c r="D20" s="97" t="s">
        <v>307</v>
      </c>
      <c r="E20" s="98" t="s">
        <v>307</v>
      </c>
      <c r="F20" s="92" t="s">
        <v>333</v>
      </c>
      <c r="G20" s="92" t="s">
        <v>307</v>
      </c>
      <c r="H20" s="93"/>
      <c r="I20" s="92" t="s">
        <v>307</v>
      </c>
      <c r="J20" s="92" t="s">
        <v>307</v>
      </c>
      <c r="K20" s="92" t="s">
        <v>307</v>
      </c>
      <c r="L20" s="92" t="s">
        <v>307</v>
      </c>
      <c r="M20" s="92" t="s">
        <v>307</v>
      </c>
      <c r="N20" s="88" t="s">
        <v>307</v>
      </c>
      <c r="O20" s="36"/>
      <c r="P20" s="104" t="s">
        <v>307</v>
      </c>
      <c r="Q20" s="17"/>
      <c r="R20" s="117" t="s">
        <v>491</v>
      </c>
    </row>
    <row r="21" spans="1:18">
      <c r="A21" s="20"/>
      <c r="B21" s="21"/>
      <c r="C21" s="89"/>
      <c r="D21" s="97"/>
      <c r="E21" s="98"/>
      <c r="F21" s="92"/>
      <c r="G21" s="92"/>
      <c r="H21" s="93"/>
      <c r="I21" s="92"/>
      <c r="J21" s="92"/>
      <c r="K21" s="92"/>
      <c r="L21" s="92"/>
      <c r="M21" s="92"/>
      <c r="N21" s="88"/>
      <c r="O21" s="36"/>
      <c r="P21" s="104"/>
      <c r="Q21" s="17"/>
      <c r="R21" s="117"/>
    </row>
    <row r="22" spans="1:18" ht="16" thickBot="1">
      <c r="A22" s="20"/>
      <c r="B22" s="21"/>
      <c r="C22" s="99"/>
      <c r="D22" s="100"/>
      <c r="E22" s="101"/>
      <c r="F22" s="102"/>
      <c r="G22" s="102"/>
      <c r="H22" s="100"/>
      <c r="I22" s="102"/>
      <c r="J22" s="102"/>
      <c r="K22" s="102"/>
      <c r="L22" s="102"/>
      <c r="M22" s="102"/>
      <c r="N22" s="103"/>
      <c r="O22" s="36"/>
      <c r="P22" s="105"/>
      <c r="Q22" s="17"/>
      <c r="R22" s="118"/>
    </row>
    <row r="23" spans="1:18" ht="16" thickTop="1">
      <c r="A23" s="20"/>
      <c r="B23" s="6"/>
      <c r="C23" s="37"/>
      <c r="D23" s="38"/>
      <c r="E23" s="39"/>
      <c r="F23" s="38"/>
      <c r="G23" s="38"/>
      <c r="H23" s="40"/>
      <c r="I23" s="38"/>
      <c r="J23" s="38"/>
      <c r="K23" s="38"/>
      <c r="L23" s="38"/>
      <c r="M23" s="38"/>
      <c r="N23" s="38"/>
      <c r="O23" s="36"/>
      <c r="P23" s="41" t="s">
        <v>16</v>
      </c>
      <c r="Q23" s="17"/>
      <c r="R23" s="2"/>
    </row>
    <row r="24" spans="1:18">
      <c r="A24" s="20"/>
      <c r="B24" s="6"/>
      <c r="C24" s="42" t="s">
        <v>15</v>
      </c>
      <c r="D24" s="82">
        <v>47</v>
      </c>
      <c r="E24" s="107"/>
      <c r="F24" s="82">
        <v>48</v>
      </c>
      <c r="G24" s="82">
        <v>49</v>
      </c>
      <c r="H24" s="83"/>
      <c r="I24" s="82">
        <v>41</v>
      </c>
      <c r="J24" s="82">
        <v>45</v>
      </c>
      <c r="K24" s="82">
        <v>49</v>
      </c>
      <c r="L24" s="82">
        <v>44</v>
      </c>
      <c r="M24" s="82">
        <v>51</v>
      </c>
      <c r="N24" s="82">
        <v>44</v>
      </c>
      <c r="O24" s="36"/>
      <c r="P24" s="106">
        <v>17</v>
      </c>
      <c r="Q24" s="17"/>
      <c r="R24" s="2"/>
    </row>
    <row r="25" spans="1:18">
      <c r="A25" s="20"/>
      <c r="B25" s="6"/>
      <c r="C25" s="43"/>
      <c r="D25" s="38"/>
      <c r="E25" s="39"/>
      <c r="F25" s="38"/>
      <c r="G25" s="38"/>
      <c r="H25" s="40"/>
      <c r="I25" s="38"/>
      <c r="J25" s="38"/>
      <c r="K25" s="38"/>
      <c r="L25" s="38"/>
      <c r="M25" s="38"/>
      <c r="N25" s="38"/>
      <c r="O25" s="36"/>
      <c r="P25" s="36"/>
      <c r="Q25" s="17"/>
      <c r="R25" s="2"/>
    </row>
    <row r="26" spans="1:18">
      <c r="A26" s="20"/>
      <c r="B26" s="6"/>
      <c r="C26" s="44" t="s">
        <v>13</v>
      </c>
      <c r="D26" s="45" t="str" cm="1">
        <f t="array" ref="D26">SUMPRODUCT(--(D7:D22=$P$7:$P$22), --($P$7:$P$22&lt;&gt;"")) &amp; "-" &amp; SUMPRODUCT(--(D7:D22&lt;&gt;$P$7:$P$22), --($P$7:$P$22&lt;&gt;""))</f>
        <v>8-6</v>
      </c>
      <c r="E26" s="46" t="str" cm="1">
        <f t="array" ref="E26">SUMPRODUCT(--(E7:E22=$P$7:$P$22), --($P$7:$P$22&lt;&gt;"")) &amp; "-" &amp; SUMPRODUCT(--(E7:E22&lt;&gt;$P$7:$P$22), --($P$7:$P$22&lt;&gt;""))</f>
        <v>10-4</v>
      </c>
      <c r="F26" s="45" t="str" cm="1">
        <f t="array" ref="F26">SUMPRODUCT(--(F7:F22=$P$7:$P$22), --($P$7:$P$22&lt;&gt;"")) &amp; "-" &amp; SUMPRODUCT(--(F7:F22&lt;&gt;$P$7:$P$22), --($P$7:$P$22&lt;&gt;""))</f>
        <v>7-7</v>
      </c>
      <c r="G26" s="45" t="str" cm="1">
        <f t="array" ref="G26">SUMPRODUCT(--(G7:G22=$P$7:$P$22), --($P$7:$P$22&lt;&gt;"")) &amp; "-" &amp; SUMPRODUCT(--(G7:G22&lt;&gt;$P$7:$P$22), --($P$7:$P$22&lt;&gt;""))</f>
        <v>10-4</v>
      </c>
      <c r="H26" s="47" t="str" cm="1">
        <f t="array" ref="H26">SUMPRODUCT(--(H7:H22=$P$7:$P$22), --($P$7:$P$22&lt;&gt;"")) &amp; "-" &amp; SUMPRODUCT(--(H7:H22&lt;&gt;$P$7:$P$22), --($P$7:$P$22&lt;&gt;""))</f>
        <v>0-14</v>
      </c>
      <c r="I26" s="45" t="str" cm="1">
        <f t="array" ref="I26">SUMPRODUCT(--(I7:I22=$P$7:$P$22), --($P$7:$P$22&lt;&gt;"")) &amp; "-" &amp; SUMPRODUCT(--(I7:I22&lt;&gt;$P$7:$P$22), --($P$7:$P$22&lt;&gt;""))</f>
        <v>8-6</v>
      </c>
      <c r="J26" s="45" t="str" cm="1">
        <f t="array" ref="J26">SUMPRODUCT(--(J7:J22=$P$7:$P$22), --($P$7:$P$22&lt;&gt;"")) &amp; "-" &amp; SUMPRODUCT(--(J7:J22&lt;&gt;$P$7:$P$22), --($P$7:$P$22&lt;&gt;""))</f>
        <v>9-5</v>
      </c>
      <c r="K26" s="45" t="str" cm="1">
        <f t="array" ref="K26">SUMPRODUCT(--(K7:K22=$P$7:$P$22), --($P$7:$P$22&lt;&gt;"")) &amp; "-" &amp; SUMPRODUCT(--(K7:K22&lt;&gt;$P$7:$P$22), --($P$7:$P$22&lt;&gt;""))</f>
        <v>8-6</v>
      </c>
      <c r="L26" s="45" t="str" cm="1">
        <f t="array" ref="L26">SUMPRODUCT(--(L7:L22=$P$7:$P$22), --($P$7:$P$22&lt;&gt;"")) &amp; "-" &amp; SUMPRODUCT(--(L7:L22&lt;&gt;$P$7:$P$22), --($P$7:$P$22&lt;&gt;""))</f>
        <v>7-7</v>
      </c>
      <c r="M26" s="45" t="str" cm="1">
        <f t="array" ref="M26">SUMPRODUCT(--(M7:M22=$P$7:$P$22), --($P$7:$P$22&lt;&gt;"")) &amp; "-" &amp; SUMPRODUCT(--(M7:M22&lt;&gt;$P$7:$P$22), --($P$7:$P$22&lt;&gt;""))</f>
        <v>11-3</v>
      </c>
      <c r="N26" s="45" t="str" cm="1">
        <f t="array" ref="N26">SUMPRODUCT(--(N7:N22=$P$7:$P$22), --($P$7:$P$22&lt;&gt;"")) &amp; "-" &amp; SUMPRODUCT(--(N7:N22&lt;&gt;$P$7:$P$22), --($P$7:$P$22&lt;&gt;""))</f>
        <v>10-4</v>
      </c>
      <c r="O26" s="36"/>
      <c r="P26" s="36"/>
      <c r="Q26" s="17"/>
      <c r="R26" s="2"/>
    </row>
    <row r="27" spans="1:18">
      <c r="A27" s="20"/>
      <c r="B27" s="6"/>
      <c r="C27" s="7"/>
      <c r="D27" s="11">
        <f>VALUE(LEFT(D26,FIND("-",D26)-1)) - VALUE(MID(D26,FIND("-",D26)+1,LEN(D26)-FIND("-",D26)))</f>
        <v>2</v>
      </c>
      <c r="E27" s="11">
        <f t="shared" ref="E27:N27" si="0">VALUE(LEFT(E26,FIND("-",E26)-1)) - VALUE(MID(E26,FIND("-",E26)+1,LEN(E26)-FIND("-",E26)))</f>
        <v>6</v>
      </c>
      <c r="F27" s="11">
        <f t="shared" si="0"/>
        <v>0</v>
      </c>
      <c r="G27" s="11">
        <f t="shared" si="0"/>
        <v>6</v>
      </c>
      <c r="H27" s="11">
        <f t="shared" si="0"/>
        <v>-14</v>
      </c>
      <c r="I27" s="11">
        <f t="shared" si="0"/>
        <v>2</v>
      </c>
      <c r="J27" s="11">
        <f t="shared" si="0"/>
        <v>4</v>
      </c>
      <c r="K27" s="11">
        <f t="shared" si="0"/>
        <v>2</v>
      </c>
      <c r="L27" s="11">
        <f t="shared" si="0"/>
        <v>0</v>
      </c>
      <c r="M27" s="11">
        <f t="shared" si="0"/>
        <v>8</v>
      </c>
      <c r="N27" s="11">
        <f t="shared" si="0"/>
        <v>6</v>
      </c>
      <c r="O27" s="6"/>
      <c r="P27" s="6"/>
      <c r="Q27" s="17"/>
      <c r="R27" s="2"/>
    </row>
    <row r="28" spans="1:18" ht="24" customHeight="1">
      <c r="A28" s="20"/>
      <c r="B28" s="12"/>
      <c r="C28" s="199" t="s">
        <v>17</v>
      </c>
      <c r="D28" s="200"/>
      <c r="E28" s="201" t="str" cm="1">
        <f t="array" ref="E28">IF(P24="", "",
   _xlfn.LET(
      _xlpm.scores, D27:N27,
      _xlpm.names, D5:N5,
      _xlpm.tiebreaks, D24:N24,
      _xlpm.guesses, D26:N26,
      _xlpm.maxScore, MAX(_xlpm.scores),
      _xlpm.topScorers, IF(_xlpm.scores=_xlpm.maxScore, 1, 0),
      _xlpm.tiebreakDiffs, IF(_xlpm.topScorers, ABS(_xlpm.tiebreaks - P24), ""),
      _xlpm.minDiff, MIN(IF(_xlpm.tiebreakDiffs&lt;&gt;"", _xlpm.tiebreakDiffs)),
      _xlpm.winners, IF((_xlpm.scores=_xlpm.maxScore)*(ABS(_xlpm.tiebreaks - P24)=_xlpm.minDiff), _xlpm.names, ""),
      _xlpm.guessMatch, INDEX(_xlpm.guesses, MATCH(1, (_xlpm.scores=_xlpm.maxScore)*(ABS(_xlpm.tiebreaks - P24)=_xlpm.minDiff), 0)),
      _xlpm.winnerList, _xlfn.TEXTJOIN(", ", TRUE, _xlpm.winners),
      IF(COUNTA(_xlfn._xlws.FILTER(_xlpm.winners, _xlpm.winners&lt;&gt;""))=1,
         _xlpm.winnerList &amp; " (" &amp; _xlpm.guessMatch &amp; ")",
         _xlpm.winnerList
      )
   )
)</f>
        <v>Lisa (11-3)</v>
      </c>
      <c r="F28" s="202"/>
      <c r="G28" s="203"/>
      <c r="H28" s="6"/>
      <c r="I28" s="6"/>
      <c r="J28" s="6"/>
      <c r="K28" s="6"/>
      <c r="L28" s="6"/>
      <c r="M28" s="6"/>
      <c r="N28" s="6"/>
      <c r="O28" s="6"/>
      <c r="P28" s="6"/>
      <c r="Q28" s="17"/>
    </row>
    <row r="29" spans="1:18" ht="15" customHeight="1" thickBot="1">
      <c r="A29" s="20"/>
      <c r="B29" s="22"/>
      <c r="C29" s="32"/>
      <c r="D29" s="32"/>
      <c r="E29" s="33"/>
      <c r="F29" s="33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5"/>
    </row>
    <row r="30" spans="1:18" ht="16" thickTop="1">
      <c r="D30" s="1"/>
    </row>
    <row r="35" spans="9:9" ht="16" thickBot="1"/>
    <row r="36" spans="9:9" ht="16" thickTop="1">
      <c r="I36" s="13"/>
    </row>
  </sheetData>
  <sheetProtection selectLockedCells="1"/>
  <customSheetViews>
    <customSheetView guid="{096EED88-6BAE-D941-AE0E-0C5B75B09829}">
      <selection activeCell="E29" sqref="E29"/>
      <pageMargins left="0.7" right="0.7" top="0.75" bottom="0.75" header="0.3" footer="0.3"/>
      <pageSetup orientation="portrait" r:id="rId1"/>
    </customSheetView>
  </customSheetViews>
  <mergeCells count="17">
    <mergeCell ref="P5:P6"/>
    <mergeCell ref="R5:R6"/>
    <mergeCell ref="C28:D28"/>
    <mergeCell ref="E28:G28"/>
    <mergeCell ref="C3:P3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  <mergeCell ref="N5:N6"/>
  </mergeCells>
  <conditionalFormatting sqref="D7:N22">
    <cfRule type="expression" dxfId="33" priority="6" stopIfTrue="1">
      <formula>AND($P7=D7, $P7&lt;&gt;"")</formula>
    </cfRule>
    <cfRule type="expression" dxfId="32" priority="7" stopIfTrue="1">
      <formula>AND($P7&lt;&gt;D7, $P7&lt;&gt;"")</formula>
    </cfRule>
  </conditionalFormatting>
  <conditionalFormatting sqref="D26:N26">
    <cfRule type="expression" dxfId="31" priority="4">
      <formula>AND(--LEFT(D26,FIND("-",D26)-1) = MAX(--LEFT($D$26:$N$26,FIND("-",$D$26:$N$26)-1)), COUNTIF($D$26:$N$26, MAX(--LEFT($D$26:$N$26,FIND("-",$D$26:$N$26)-1)) &amp; "-*") &gt; 1)</formula>
    </cfRule>
    <cfRule type="expression" dxfId="30" priority="5">
      <formula>AND(--LEFT(D26,FIND("-",D26)-1) = MAX(--LEFT($D$26:$N$26,FIND("-",$D$26:$N$26)-1)), COUNTIF($D$26:$N$26, MAX(--LEFT($D$26:$N$26,FIND("-",$D$26:$N$26)-1)) &amp; "-*") = 1)</formula>
    </cfRule>
  </conditionalFormatting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Button 1">
              <controlPr defaultSize="0" print="0" autoFill="0" autoPict="0" macro="[0]!UpdateCurrentSheet">
                <anchor moveWithCells="1" sizeWithCells="1">
                  <from>
                    <xdr:col>17</xdr:col>
                    <xdr:colOff>533400</xdr:colOff>
                    <xdr:row>2</xdr:row>
                    <xdr:rowOff>50800</xdr:rowOff>
                  </from>
                  <to>
                    <xdr:col>17</xdr:col>
                    <xdr:colOff>1181100</xdr:colOff>
                    <xdr:row>2</xdr:row>
                    <xdr:rowOff>368300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30794-323E-4FB9-A6A7-72BB8AF11FDC}">
  <sheetPr codeName="Sheet9"/>
  <dimension ref="A2:R36"/>
  <sheetViews>
    <sheetView workbookViewId="0">
      <selection activeCell="E29" sqref="E29"/>
    </sheetView>
  </sheetViews>
  <sheetFormatPr baseColWidth="10" defaultColWidth="8.83203125" defaultRowHeight="15"/>
  <cols>
    <col min="2" max="2" width="1.6640625" customWidth="1"/>
    <col min="3" max="3" width="11.6640625" style="1" bestFit="1" customWidth="1"/>
    <col min="4" max="14" width="13.1640625" customWidth="1"/>
    <col min="15" max="15" width="1.6640625" customWidth="1"/>
    <col min="16" max="16" width="15.5" bestFit="1" customWidth="1"/>
    <col min="17" max="17" width="1.6640625" customWidth="1"/>
    <col min="18" max="18" width="24.83203125" customWidth="1"/>
    <col min="19" max="19" width="1.6640625" customWidth="1"/>
  </cols>
  <sheetData>
    <row r="2" spans="1:18" ht="15" customHeight="1" thickBot="1">
      <c r="B2" s="31"/>
      <c r="C2" s="30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</row>
    <row r="3" spans="1:18" ht="32.25" customHeight="1" thickBot="1">
      <c r="B3" s="27"/>
      <c r="C3" s="186" t="s">
        <v>42</v>
      </c>
      <c r="D3" s="186"/>
      <c r="E3" s="186"/>
      <c r="F3" s="186"/>
      <c r="G3" s="186"/>
      <c r="H3" s="186"/>
      <c r="I3" s="186"/>
      <c r="J3" s="186"/>
      <c r="K3" s="186"/>
      <c r="L3" s="186"/>
      <c r="M3" s="186"/>
      <c r="N3" s="186"/>
      <c r="O3" s="186"/>
      <c r="P3" s="186"/>
      <c r="Q3" s="28"/>
    </row>
    <row r="4" spans="1:18" ht="15" customHeight="1" thickBot="1">
      <c r="A4" s="20"/>
      <c r="B4" s="19"/>
      <c r="C4" s="14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6"/>
      <c r="P4" s="6"/>
      <c r="Q4" s="16"/>
      <c r="R4" s="2"/>
    </row>
    <row r="5" spans="1:18" ht="23.25" customHeight="1" thickTop="1">
      <c r="A5" s="20"/>
      <c r="B5" s="6"/>
      <c r="C5" s="187" t="s">
        <v>18</v>
      </c>
      <c r="D5" s="189" t="s">
        <v>14</v>
      </c>
      <c r="E5" s="191" t="s">
        <v>2</v>
      </c>
      <c r="F5" s="193" t="s">
        <v>3</v>
      </c>
      <c r="G5" s="193" t="s">
        <v>4</v>
      </c>
      <c r="H5" s="193" t="s">
        <v>5</v>
      </c>
      <c r="I5" s="189" t="s">
        <v>6</v>
      </c>
      <c r="J5" s="189" t="s">
        <v>7</v>
      </c>
      <c r="K5" s="189" t="s">
        <v>8</v>
      </c>
      <c r="L5" s="191" t="s">
        <v>9</v>
      </c>
      <c r="M5" s="193" t="s">
        <v>10</v>
      </c>
      <c r="N5" s="189" t="s">
        <v>11</v>
      </c>
      <c r="O5" s="6"/>
      <c r="P5" s="195" t="s">
        <v>12</v>
      </c>
      <c r="Q5" s="17"/>
      <c r="R5" s="204" t="s">
        <v>389</v>
      </c>
    </row>
    <row r="6" spans="1:18" ht="8" customHeight="1" thickBot="1">
      <c r="A6" s="20"/>
      <c r="B6" s="6"/>
      <c r="C6" s="188"/>
      <c r="D6" s="190"/>
      <c r="E6" s="192"/>
      <c r="F6" s="194"/>
      <c r="G6" s="194"/>
      <c r="H6" s="194"/>
      <c r="I6" s="190"/>
      <c r="J6" s="190"/>
      <c r="K6" s="190"/>
      <c r="L6" s="192"/>
      <c r="M6" s="194"/>
      <c r="N6" s="190"/>
      <c r="O6" s="6"/>
      <c r="P6" s="196"/>
      <c r="Q6" s="17"/>
      <c r="R6" s="205"/>
    </row>
    <row r="7" spans="1:18" ht="16" thickTop="1">
      <c r="A7" s="20"/>
      <c r="B7" s="21"/>
      <c r="C7" s="81" t="s">
        <v>43</v>
      </c>
      <c r="D7" s="51" t="s">
        <v>309</v>
      </c>
      <c r="E7" s="52" t="s">
        <v>309</v>
      </c>
      <c r="F7" s="53" t="s">
        <v>309</v>
      </c>
      <c r="G7" s="82" t="s">
        <v>309</v>
      </c>
      <c r="H7" s="83" t="s">
        <v>309</v>
      </c>
      <c r="I7" s="82" t="s">
        <v>309</v>
      </c>
      <c r="J7" s="82" t="s">
        <v>309</v>
      </c>
      <c r="K7" s="82" t="s">
        <v>309</v>
      </c>
      <c r="L7" s="82" t="s">
        <v>309</v>
      </c>
      <c r="M7" s="82" t="s">
        <v>309</v>
      </c>
      <c r="N7" s="84" t="s">
        <v>309</v>
      </c>
      <c r="O7" s="36"/>
      <c r="P7" s="56" t="s">
        <v>309</v>
      </c>
      <c r="Q7" s="17"/>
      <c r="R7" s="117" t="s">
        <v>492</v>
      </c>
    </row>
    <row r="8" spans="1:18">
      <c r="A8" s="20"/>
      <c r="B8" s="21"/>
      <c r="C8" s="85" t="s">
        <v>241</v>
      </c>
      <c r="D8" s="57" t="s">
        <v>329</v>
      </c>
      <c r="E8" s="58" t="s">
        <v>329</v>
      </c>
      <c r="F8" s="59" t="s">
        <v>329</v>
      </c>
      <c r="G8" s="86" t="s">
        <v>329</v>
      </c>
      <c r="H8" s="87" t="s">
        <v>329</v>
      </c>
      <c r="I8" s="86" t="s">
        <v>329</v>
      </c>
      <c r="J8" s="86" t="s">
        <v>329</v>
      </c>
      <c r="K8" s="86" t="s">
        <v>329</v>
      </c>
      <c r="L8" s="86" t="s">
        <v>329</v>
      </c>
      <c r="M8" s="86" t="s">
        <v>329</v>
      </c>
      <c r="N8" s="88" t="s">
        <v>329</v>
      </c>
      <c r="O8" s="36"/>
      <c r="P8" s="62" t="s">
        <v>329</v>
      </c>
      <c r="Q8" s="17"/>
      <c r="R8" s="117" t="s">
        <v>493</v>
      </c>
    </row>
    <row r="9" spans="1:18">
      <c r="A9" s="20"/>
      <c r="B9" s="21"/>
      <c r="C9" s="89" t="s">
        <v>65</v>
      </c>
      <c r="D9" s="90" t="s">
        <v>324</v>
      </c>
      <c r="E9" s="91" t="s">
        <v>338</v>
      </c>
      <c r="F9" s="92" t="s">
        <v>324</v>
      </c>
      <c r="G9" s="92" t="s">
        <v>338</v>
      </c>
      <c r="H9" s="93" t="s">
        <v>324</v>
      </c>
      <c r="I9" s="92" t="s">
        <v>338</v>
      </c>
      <c r="J9" s="92" t="s">
        <v>324</v>
      </c>
      <c r="K9" s="92" t="s">
        <v>324</v>
      </c>
      <c r="L9" s="92" t="s">
        <v>324</v>
      </c>
      <c r="M9" s="92" t="s">
        <v>324</v>
      </c>
      <c r="N9" s="88" t="s">
        <v>324</v>
      </c>
      <c r="O9" s="36"/>
      <c r="P9" s="104" t="s">
        <v>338</v>
      </c>
      <c r="Q9" s="17"/>
      <c r="R9" s="117" t="s">
        <v>494</v>
      </c>
    </row>
    <row r="10" spans="1:18">
      <c r="A10" s="20"/>
      <c r="B10" s="21"/>
      <c r="C10" s="89" t="s">
        <v>242</v>
      </c>
      <c r="D10" s="90" t="s">
        <v>314</v>
      </c>
      <c r="E10" s="91" t="s">
        <v>314</v>
      </c>
      <c r="F10" s="92" t="s">
        <v>314</v>
      </c>
      <c r="G10" s="92" t="s">
        <v>314</v>
      </c>
      <c r="H10" s="93" t="s">
        <v>314</v>
      </c>
      <c r="I10" s="92" t="s">
        <v>314</v>
      </c>
      <c r="J10" s="92" t="s">
        <v>314</v>
      </c>
      <c r="K10" s="92" t="s">
        <v>314</v>
      </c>
      <c r="L10" s="92" t="s">
        <v>314</v>
      </c>
      <c r="M10" s="92" t="s">
        <v>314</v>
      </c>
      <c r="N10" s="88" t="s">
        <v>314</v>
      </c>
      <c r="O10" s="36"/>
      <c r="P10" s="104" t="s">
        <v>314</v>
      </c>
      <c r="Q10" s="17"/>
      <c r="R10" s="117" t="s">
        <v>495</v>
      </c>
    </row>
    <row r="11" spans="1:18">
      <c r="A11" s="20"/>
      <c r="B11" s="21"/>
      <c r="C11" s="89" t="s">
        <v>88</v>
      </c>
      <c r="D11" s="90" t="s">
        <v>322</v>
      </c>
      <c r="E11" s="91" t="s">
        <v>322</v>
      </c>
      <c r="F11" s="92" t="s">
        <v>322</v>
      </c>
      <c r="G11" s="92" t="s">
        <v>322</v>
      </c>
      <c r="H11" s="93" t="s">
        <v>322</v>
      </c>
      <c r="I11" s="92" t="s">
        <v>322</v>
      </c>
      <c r="J11" s="92" t="s">
        <v>322</v>
      </c>
      <c r="K11" s="92" t="s">
        <v>322</v>
      </c>
      <c r="L11" s="92" t="s">
        <v>322</v>
      </c>
      <c r="M11" s="92" t="s">
        <v>322</v>
      </c>
      <c r="N11" s="88" t="s">
        <v>322</v>
      </c>
      <c r="O11" s="36"/>
      <c r="P11" s="104" t="s">
        <v>322</v>
      </c>
      <c r="Q11" s="17"/>
      <c r="R11" s="117" t="s">
        <v>496</v>
      </c>
    </row>
    <row r="12" spans="1:18">
      <c r="A12" s="20"/>
      <c r="B12" s="21"/>
      <c r="C12" s="94" t="s">
        <v>86</v>
      </c>
      <c r="D12" s="95" t="s">
        <v>315</v>
      </c>
      <c r="E12" s="96" t="s">
        <v>315</v>
      </c>
      <c r="F12" s="82" t="s">
        <v>315</v>
      </c>
      <c r="G12" s="82" t="s">
        <v>315</v>
      </c>
      <c r="H12" s="83" t="s">
        <v>332</v>
      </c>
      <c r="I12" s="82" t="s">
        <v>315</v>
      </c>
      <c r="J12" s="82" t="s">
        <v>332</v>
      </c>
      <c r="K12" s="82" t="s">
        <v>315</v>
      </c>
      <c r="L12" s="82" t="s">
        <v>332</v>
      </c>
      <c r="M12" s="82" t="s">
        <v>332</v>
      </c>
      <c r="N12" s="84" t="s">
        <v>332</v>
      </c>
      <c r="O12" s="36"/>
      <c r="P12" s="104" t="s">
        <v>315</v>
      </c>
      <c r="Q12" s="17"/>
      <c r="R12" s="117" t="s">
        <v>497</v>
      </c>
    </row>
    <row r="13" spans="1:18">
      <c r="A13" s="20"/>
      <c r="B13" s="21"/>
      <c r="C13" s="89" t="s">
        <v>243</v>
      </c>
      <c r="D13" s="97" t="s">
        <v>333</v>
      </c>
      <c r="E13" s="98" t="s">
        <v>333</v>
      </c>
      <c r="F13" s="92" t="s">
        <v>333</v>
      </c>
      <c r="G13" s="92" t="s">
        <v>333</v>
      </c>
      <c r="H13" s="93" t="s">
        <v>333</v>
      </c>
      <c r="I13" s="92" t="s">
        <v>333</v>
      </c>
      <c r="J13" s="92" t="s">
        <v>333</v>
      </c>
      <c r="K13" s="92" t="s">
        <v>333</v>
      </c>
      <c r="L13" s="92" t="s">
        <v>333</v>
      </c>
      <c r="M13" s="92" t="s">
        <v>333</v>
      </c>
      <c r="N13" s="88" t="s">
        <v>333</v>
      </c>
      <c r="O13" s="36"/>
      <c r="P13" s="104" t="s">
        <v>333</v>
      </c>
      <c r="Q13" s="17"/>
      <c r="R13" s="117" t="s">
        <v>498</v>
      </c>
    </row>
    <row r="14" spans="1:18">
      <c r="A14" s="20"/>
      <c r="B14" s="21"/>
      <c r="C14" s="89" t="s">
        <v>100</v>
      </c>
      <c r="D14" s="97" t="s">
        <v>327</v>
      </c>
      <c r="E14" s="98" t="s">
        <v>327</v>
      </c>
      <c r="F14" s="92" t="s">
        <v>327</v>
      </c>
      <c r="G14" s="92" t="s">
        <v>327</v>
      </c>
      <c r="H14" s="93" t="s">
        <v>327</v>
      </c>
      <c r="I14" s="92" t="s">
        <v>327</v>
      </c>
      <c r="J14" s="92" t="s">
        <v>327</v>
      </c>
      <c r="K14" s="92" t="s">
        <v>327</v>
      </c>
      <c r="L14" s="92" t="s">
        <v>327</v>
      </c>
      <c r="M14" s="92" t="s">
        <v>327</v>
      </c>
      <c r="N14" s="88" t="s">
        <v>327</v>
      </c>
      <c r="O14" s="36"/>
      <c r="P14" s="104" t="s">
        <v>327</v>
      </c>
      <c r="Q14" s="17"/>
      <c r="R14" s="117" t="s">
        <v>499</v>
      </c>
    </row>
    <row r="15" spans="1:18">
      <c r="A15" s="20"/>
      <c r="B15" s="21"/>
      <c r="C15" s="89" t="s">
        <v>244</v>
      </c>
      <c r="D15" s="97" t="s">
        <v>323</v>
      </c>
      <c r="E15" s="98" t="s">
        <v>323</v>
      </c>
      <c r="F15" s="92" t="s">
        <v>323</v>
      </c>
      <c r="G15" s="92" t="s">
        <v>323</v>
      </c>
      <c r="H15" s="93" t="s">
        <v>323</v>
      </c>
      <c r="I15" s="92" t="s">
        <v>312</v>
      </c>
      <c r="J15" s="92" t="s">
        <v>323</v>
      </c>
      <c r="K15" s="92" t="s">
        <v>323</v>
      </c>
      <c r="L15" s="92" t="s">
        <v>323</v>
      </c>
      <c r="M15" s="92" t="s">
        <v>323</v>
      </c>
      <c r="N15" s="88" t="s">
        <v>323</v>
      </c>
      <c r="O15" s="36"/>
      <c r="P15" s="104" t="s">
        <v>312</v>
      </c>
      <c r="Q15" s="17"/>
      <c r="R15" s="117" t="s">
        <v>500</v>
      </c>
    </row>
    <row r="16" spans="1:18">
      <c r="A16" s="20"/>
      <c r="B16" s="21"/>
      <c r="C16" s="89" t="s">
        <v>78</v>
      </c>
      <c r="D16" s="97" t="s">
        <v>328</v>
      </c>
      <c r="E16" s="98" t="s">
        <v>330</v>
      </c>
      <c r="F16" s="92" t="s">
        <v>328</v>
      </c>
      <c r="G16" s="92" t="s">
        <v>330</v>
      </c>
      <c r="H16" s="93" t="s">
        <v>330</v>
      </c>
      <c r="I16" s="92" t="s">
        <v>330</v>
      </c>
      <c r="J16" s="92" t="s">
        <v>330</v>
      </c>
      <c r="K16" s="92" t="s">
        <v>330</v>
      </c>
      <c r="L16" s="92" t="s">
        <v>330</v>
      </c>
      <c r="M16" s="92" t="s">
        <v>330</v>
      </c>
      <c r="N16" s="88" t="s">
        <v>330</v>
      </c>
      <c r="O16" s="36"/>
      <c r="P16" s="104" t="s">
        <v>330</v>
      </c>
      <c r="Q16" s="17"/>
      <c r="R16" s="117" t="s">
        <v>501</v>
      </c>
    </row>
    <row r="17" spans="1:18">
      <c r="A17" s="20"/>
      <c r="B17" s="21"/>
      <c r="C17" s="89" t="s">
        <v>58</v>
      </c>
      <c r="D17" s="97" t="s">
        <v>320</v>
      </c>
      <c r="E17" s="98" t="s">
        <v>320</v>
      </c>
      <c r="F17" s="92" t="s">
        <v>319</v>
      </c>
      <c r="G17" s="92" t="s">
        <v>320</v>
      </c>
      <c r="H17" s="93" t="s">
        <v>320</v>
      </c>
      <c r="I17" s="92" t="s">
        <v>320</v>
      </c>
      <c r="J17" s="92" t="s">
        <v>320</v>
      </c>
      <c r="K17" s="92" t="s">
        <v>320</v>
      </c>
      <c r="L17" s="92" t="s">
        <v>320</v>
      </c>
      <c r="M17" s="92" t="s">
        <v>320</v>
      </c>
      <c r="N17" s="88" t="s">
        <v>320</v>
      </c>
      <c r="O17" s="36"/>
      <c r="P17" s="104" t="s">
        <v>320</v>
      </c>
      <c r="Q17" s="17"/>
      <c r="R17" s="117" t="s">
        <v>502</v>
      </c>
    </row>
    <row r="18" spans="1:18">
      <c r="A18" s="20"/>
      <c r="B18" s="21"/>
      <c r="C18" s="89" t="s">
        <v>136</v>
      </c>
      <c r="D18" s="97" t="s">
        <v>331</v>
      </c>
      <c r="E18" s="98" t="s">
        <v>331</v>
      </c>
      <c r="F18" s="92" t="s">
        <v>331</v>
      </c>
      <c r="G18" s="92" t="s">
        <v>331</v>
      </c>
      <c r="H18" s="93" t="s">
        <v>331</v>
      </c>
      <c r="I18" s="92" t="s">
        <v>331</v>
      </c>
      <c r="J18" s="92" t="s">
        <v>331</v>
      </c>
      <c r="K18" s="92" t="s">
        <v>331</v>
      </c>
      <c r="L18" s="92" t="s">
        <v>331</v>
      </c>
      <c r="M18" s="92" t="s">
        <v>331</v>
      </c>
      <c r="N18" s="88" t="s">
        <v>331</v>
      </c>
      <c r="O18" s="36"/>
      <c r="P18" s="104" t="s">
        <v>331</v>
      </c>
      <c r="Q18" s="17"/>
      <c r="R18" s="117" t="s">
        <v>503</v>
      </c>
    </row>
    <row r="19" spans="1:18">
      <c r="A19" s="20"/>
      <c r="B19" s="21"/>
      <c r="C19" s="89" t="s">
        <v>79</v>
      </c>
      <c r="D19" s="97" t="s">
        <v>316</v>
      </c>
      <c r="E19" s="98" t="s">
        <v>313</v>
      </c>
      <c r="F19" s="92" t="s">
        <v>316</v>
      </c>
      <c r="G19" s="92" t="s">
        <v>313</v>
      </c>
      <c r="H19" s="93" t="s">
        <v>313</v>
      </c>
      <c r="I19" s="92" t="s">
        <v>316</v>
      </c>
      <c r="J19" s="92" t="s">
        <v>316</v>
      </c>
      <c r="K19" s="92" t="s">
        <v>313</v>
      </c>
      <c r="L19" s="92" t="s">
        <v>316</v>
      </c>
      <c r="M19" s="92" t="s">
        <v>316</v>
      </c>
      <c r="N19" s="88" t="s">
        <v>316</v>
      </c>
      <c r="O19" s="36"/>
      <c r="P19" s="104" t="s">
        <v>313</v>
      </c>
      <c r="Q19" s="17"/>
      <c r="R19" s="117" t="s">
        <v>504</v>
      </c>
    </row>
    <row r="20" spans="1:18">
      <c r="A20" s="20"/>
      <c r="B20" s="21"/>
      <c r="C20" s="89" t="s">
        <v>245</v>
      </c>
      <c r="D20" s="97" t="s">
        <v>307</v>
      </c>
      <c r="E20" s="98" t="s">
        <v>321</v>
      </c>
      <c r="F20" s="92" t="s">
        <v>307</v>
      </c>
      <c r="G20" s="92" t="s">
        <v>307</v>
      </c>
      <c r="H20" s="93" t="s">
        <v>321</v>
      </c>
      <c r="I20" s="92" t="s">
        <v>307</v>
      </c>
      <c r="J20" s="92" t="s">
        <v>321</v>
      </c>
      <c r="K20" s="92" t="s">
        <v>307</v>
      </c>
      <c r="L20" s="92" t="s">
        <v>307</v>
      </c>
      <c r="M20" s="92" t="s">
        <v>307</v>
      </c>
      <c r="N20" s="88" t="s">
        <v>307</v>
      </c>
      <c r="O20" s="36"/>
      <c r="P20" s="104" t="s">
        <v>307</v>
      </c>
      <c r="Q20" s="17"/>
      <c r="R20" s="117" t="s">
        <v>505</v>
      </c>
    </row>
    <row r="21" spans="1:18">
      <c r="A21" s="20"/>
      <c r="B21" s="21"/>
      <c r="C21" s="89" t="s">
        <v>246</v>
      </c>
      <c r="D21" s="97" t="s">
        <v>336</v>
      </c>
      <c r="E21" s="98" t="s">
        <v>336</v>
      </c>
      <c r="F21" s="92" t="s">
        <v>336</v>
      </c>
      <c r="G21" s="92" t="s">
        <v>336</v>
      </c>
      <c r="H21" s="93" t="s">
        <v>336</v>
      </c>
      <c r="I21" s="92" t="s">
        <v>336</v>
      </c>
      <c r="J21" s="92" t="s">
        <v>336</v>
      </c>
      <c r="K21" s="92" t="s">
        <v>336</v>
      </c>
      <c r="L21" s="92" t="s">
        <v>336</v>
      </c>
      <c r="M21" s="92" t="s">
        <v>336</v>
      </c>
      <c r="N21" s="88" t="s">
        <v>336</v>
      </c>
      <c r="O21" s="36"/>
      <c r="P21" s="104" t="s">
        <v>336</v>
      </c>
      <c r="Q21" s="17"/>
      <c r="R21" s="117" t="s">
        <v>506</v>
      </c>
    </row>
    <row r="22" spans="1:18" ht="16" thickBot="1">
      <c r="A22" s="20"/>
      <c r="B22" s="21"/>
      <c r="C22" s="99"/>
      <c r="D22" s="100"/>
      <c r="E22" s="101"/>
      <c r="F22" s="102"/>
      <c r="G22" s="102"/>
      <c r="H22" s="100"/>
      <c r="I22" s="102"/>
      <c r="J22" s="102"/>
      <c r="K22" s="102"/>
      <c r="L22" s="102"/>
      <c r="M22" s="102"/>
      <c r="N22" s="103"/>
      <c r="O22" s="36"/>
      <c r="P22" s="105"/>
      <c r="Q22" s="17"/>
      <c r="R22" s="118"/>
    </row>
    <row r="23" spans="1:18" ht="16" thickTop="1">
      <c r="A23" s="20"/>
      <c r="B23" s="6"/>
      <c r="C23" s="37"/>
      <c r="D23" s="38"/>
      <c r="E23" s="39"/>
      <c r="F23" s="38"/>
      <c r="G23" s="38"/>
      <c r="H23" s="40"/>
      <c r="I23" s="38"/>
      <c r="J23" s="38"/>
      <c r="K23" s="38"/>
      <c r="L23" s="38"/>
      <c r="M23" s="38"/>
      <c r="N23" s="38"/>
      <c r="O23" s="36"/>
      <c r="P23" s="41" t="s">
        <v>16</v>
      </c>
      <c r="Q23" s="17"/>
      <c r="R23" s="2"/>
    </row>
    <row r="24" spans="1:18">
      <c r="A24" s="20"/>
      <c r="B24" s="6"/>
      <c r="C24" s="42" t="s">
        <v>15</v>
      </c>
      <c r="D24" s="82">
        <v>49</v>
      </c>
      <c r="E24" s="107">
        <v>51</v>
      </c>
      <c r="F24" s="82">
        <v>35</v>
      </c>
      <c r="G24" s="82">
        <v>43</v>
      </c>
      <c r="H24" s="83">
        <v>52</v>
      </c>
      <c r="I24" s="82">
        <v>41</v>
      </c>
      <c r="J24" s="82">
        <v>42</v>
      </c>
      <c r="K24" s="82">
        <v>47</v>
      </c>
      <c r="L24" s="82">
        <v>37</v>
      </c>
      <c r="M24" s="82">
        <v>48</v>
      </c>
      <c r="N24" s="82">
        <v>50</v>
      </c>
      <c r="O24" s="36"/>
      <c r="P24" s="106">
        <v>49</v>
      </c>
      <c r="Q24" s="17"/>
      <c r="R24" s="2"/>
    </row>
    <row r="25" spans="1:18">
      <c r="A25" s="20"/>
      <c r="B25" s="6"/>
      <c r="C25" s="43"/>
      <c r="D25" s="38"/>
      <c r="E25" s="39"/>
      <c r="F25" s="38"/>
      <c r="G25" s="38"/>
      <c r="H25" s="40"/>
      <c r="I25" s="38"/>
      <c r="J25" s="38"/>
      <c r="K25" s="38"/>
      <c r="L25" s="38"/>
      <c r="M25" s="38"/>
      <c r="N25" s="38"/>
      <c r="O25" s="36"/>
      <c r="P25" s="36"/>
      <c r="Q25" s="17"/>
      <c r="R25" s="2"/>
    </row>
    <row r="26" spans="1:18">
      <c r="A26" s="20"/>
      <c r="B26" s="6"/>
      <c r="C26" s="44" t="s">
        <v>13</v>
      </c>
      <c r="D26" s="45" t="str" cm="1">
        <f t="array" ref="D26">SUMPRODUCT(--(D7:D22=$P$7:$P$22), --($P$7:$P$22&lt;&gt;"")) &amp; "-" &amp; SUMPRODUCT(--(D7:D22&lt;&gt;$P$7:$P$22), --($P$7:$P$22&lt;&gt;""))</f>
        <v>11-4</v>
      </c>
      <c r="E26" s="46" t="str" cm="1">
        <f t="array" ref="E26">SUMPRODUCT(--(E7:E22=$P$7:$P$22), --($P$7:$P$22&lt;&gt;"")) &amp; "-" &amp; SUMPRODUCT(--(E7:E22&lt;&gt;$P$7:$P$22), --($P$7:$P$22&lt;&gt;""))</f>
        <v>13-2</v>
      </c>
      <c r="F26" s="45" t="str" cm="1">
        <f t="array" ref="F26">SUMPRODUCT(--(F7:F22=$P$7:$P$22), --($P$7:$P$22&lt;&gt;"")) &amp; "-" &amp; SUMPRODUCT(--(F7:F22&lt;&gt;$P$7:$P$22), --($P$7:$P$22&lt;&gt;""))</f>
        <v>10-5</v>
      </c>
      <c r="G26" s="45" t="str" cm="1">
        <f t="array" ref="G26">SUMPRODUCT(--(G7:G22=$P$7:$P$22), --($P$7:$P$22&lt;&gt;"")) &amp; "-" &amp; SUMPRODUCT(--(G7:G22&lt;&gt;$P$7:$P$22), --($P$7:$P$22&lt;&gt;""))</f>
        <v>14-1</v>
      </c>
      <c r="H26" s="47" t="str" cm="1">
        <f t="array" ref="H26">SUMPRODUCT(--(H7:H22=$P$7:$P$22), --($P$7:$P$22&lt;&gt;"")) &amp; "-" &amp; SUMPRODUCT(--(H7:H22&lt;&gt;$P$7:$P$22), --($P$7:$P$22&lt;&gt;""))</f>
        <v>11-4</v>
      </c>
      <c r="I26" s="45" t="str" cm="1">
        <f t="array" ref="I26">SUMPRODUCT(--(I7:I22=$P$7:$P$22), --($P$7:$P$22&lt;&gt;"")) &amp; "-" &amp; SUMPRODUCT(--(I7:I22&lt;&gt;$P$7:$P$22), --($P$7:$P$22&lt;&gt;""))</f>
        <v>14-1</v>
      </c>
      <c r="J26" s="45" t="str" cm="1">
        <f t="array" ref="J26">SUMPRODUCT(--(J7:J22=$P$7:$P$22), --($P$7:$P$22&lt;&gt;"")) &amp; "-" &amp; SUMPRODUCT(--(J7:J22&lt;&gt;$P$7:$P$22), --($P$7:$P$22&lt;&gt;""))</f>
        <v>10-5</v>
      </c>
      <c r="K26" s="45" t="str" cm="1">
        <f t="array" ref="K26">SUMPRODUCT(--(K7:K22=$P$7:$P$22), --($P$7:$P$22&lt;&gt;"")) &amp; "-" &amp; SUMPRODUCT(--(K7:K22&lt;&gt;$P$7:$P$22), --($P$7:$P$22&lt;&gt;""))</f>
        <v>13-2</v>
      </c>
      <c r="L26" s="45" t="str" cm="1">
        <f t="array" ref="L26">SUMPRODUCT(--(L7:L22=$P$7:$P$22), --($P$7:$P$22&lt;&gt;"")) &amp; "-" &amp; SUMPRODUCT(--(L7:L22&lt;&gt;$P$7:$P$22), --($P$7:$P$22&lt;&gt;""))</f>
        <v>11-4</v>
      </c>
      <c r="M26" s="45" t="str" cm="1">
        <f t="array" ref="M26">SUMPRODUCT(--(M7:M22=$P$7:$P$22), --($P$7:$P$22&lt;&gt;"")) &amp; "-" &amp; SUMPRODUCT(--(M7:M22&lt;&gt;$P$7:$P$22), --($P$7:$P$22&lt;&gt;""))</f>
        <v>11-4</v>
      </c>
      <c r="N26" s="45" t="str" cm="1">
        <f t="array" ref="N26">SUMPRODUCT(--(N7:N22=$P$7:$P$22), --($P$7:$P$22&lt;&gt;"")) &amp; "-" &amp; SUMPRODUCT(--(N7:N22&lt;&gt;$P$7:$P$22), --($P$7:$P$22&lt;&gt;""))</f>
        <v>11-4</v>
      </c>
      <c r="O26" s="36"/>
      <c r="P26" s="36"/>
      <c r="Q26" s="17"/>
      <c r="R26" s="2"/>
    </row>
    <row r="27" spans="1:18">
      <c r="A27" s="20"/>
      <c r="B27" s="6"/>
      <c r="C27" s="7"/>
      <c r="D27" s="11">
        <f>VALUE(LEFT(D26,FIND("-",D26)-1)) - VALUE(MID(D26,FIND("-",D26)+1,LEN(D26)-FIND("-",D26)))</f>
        <v>7</v>
      </c>
      <c r="E27" s="11">
        <f t="shared" ref="E27:N27" si="0">VALUE(LEFT(E26,FIND("-",E26)-1)) - VALUE(MID(E26,FIND("-",E26)+1,LEN(E26)-FIND("-",E26)))</f>
        <v>11</v>
      </c>
      <c r="F27" s="11">
        <f t="shared" si="0"/>
        <v>5</v>
      </c>
      <c r="G27" s="11">
        <f t="shared" si="0"/>
        <v>13</v>
      </c>
      <c r="H27" s="11">
        <f t="shared" si="0"/>
        <v>7</v>
      </c>
      <c r="I27" s="11">
        <f t="shared" si="0"/>
        <v>13</v>
      </c>
      <c r="J27" s="11">
        <f t="shared" si="0"/>
        <v>5</v>
      </c>
      <c r="K27" s="11">
        <f t="shared" si="0"/>
        <v>11</v>
      </c>
      <c r="L27" s="11">
        <f t="shared" si="0"/>
        <v>7</v>
      </c>
      <c r="M27" s="11">
        <f t="shared" si="0"/>
        <v>7</v>
      </c>
      <c r="N27" s="11">
        <f t="shared" si="0"/>
        <v>7</v>
      </c>
      <c r="O27" s="6"/>
      <c r="P27" s="6"/>
      <c r="Q27" s="17"/>
      <c r="R27" s="2"/>
    </row>
    <row r="28" spans="1:18" ht="24" customHeight="1">
      <c r="A28" s="20"/>
      <c r="B28" s="12"/>
      <c r="C28" s="199" t="s">
        <v>17</v>
      </c>
      <c r="D28" s="200"/>
      <c r="E28" s="201" t="str" cm="1">
        <f t="array" ref="E28">IF(P24="", "",
   _xlfn.LET(
      _xlpm.scores, D27:N27,
      _xlpm.names, D5:N5,
      _xlpm.tiebreaks, D24:N24,
      _xlpm.guesses, D26:N26,
      _xlpm.maxScore, MAX(_xlpm.scores),
      _xlpm.topScorers, IF(_xlpm.scores=_xlpm.maxScore, 1, 0),
      _xlpm.tiebreakDiffs, IF(_xlpm.topScorers, ABS(_xlpm.tiebreaks - P24), ""),
      _xlpm.minDiff, MIN(IF(_xlpm.tiebreakDiffs&lt;&gt;"", _xlpm.tiebreakDiffs)),
      _xlpm.winners, IF((_xlpm.scores=_xlpm.maxScore)*(ABS(_xlpm.tiebreaks - P24)=_xlpm.minDiff), _xlpm.names, ""),
      _xlpm.guessMatch, INDEX(_xlpm.guesses, MATCH(1, (_xlpm.scores=_xlpm.maxScore)*(ABS(_xlpm.tiebreaks - P24)=_xlpm.minDiff), 0)),
      _xlpm.winnerList, _xlfn.TEXTJOIN(", ", TRUE, _xlpm.winners),
      IF(COUNTA(_xlfn._xlws.FILTER(_xlpm.winners, _xlpm.winners&lt;&gt;""))=1,
         _xlpm.winnerList &amp; " (" &amp; _xlpm.guessMatch &amp; ")",
         _xlpm.winnerList
      )
   )
)</f>
        <v>Cowan (14-1)</v>
      </c>
      <c r="F28" s="202"/>
      <c r="G28" s="203"/>
      <c r="H28" s="6"/>
      <c r="I28" s="6"/>
      <c r="J28" s="6"/>
      <c r="K28" s="6"/>
      <c r="L28" s="6"/>
      <c r="M28" s="6"/>
      <c r="N28" s="6"/>
      <c r="O28" s="6"/>
      <c r="P28" s="6"/>
      <c r="Q28" s="17"/>
    </row>
    <row r="29" spans="1:18" ht="15" customHeight="1" thickBot="1">
      <c r="A29" s="20"/>
      <c r="B29" s="22"/>
      <c r="C29" s="32"/>
      <c r="D29" s="32"/>
      <c r="E29" s="33"/>
      <c r="F29" s="33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5"/>
    </row>
    <row r="30" spans="1:18" ht="16" thickTop="1">
      <c r="D30" s="1"/>
    </row>
    <row r="35" spans="9:9" ht="16" thickBot="1"/>
    <row r="36" spans="9:9" ht="16" thickTop="1">
      <c r="I36" s="13"/>
    </row>
  </sheetData>
  <sheetProtection selectLockedCells="1"/>
  <customSheetViews>
    <customSheetView guid="{096EED88-6BAE-D941-AE0E-0C5B75B09829}">
      <selection activeCell="E29" sqref="E29"/>
      <pageMargins left="0.7" right="0.7" top="0.75" bottom="0.75" header="0.3" footer="0.3"/>
      <pageSetup orientation="portrait" r:id="rId1"/>
    </customSheetView>
  </customSheetViews>
  <mergeCells count="17">
    <mergeCell ref="R5:R6"/>
    <mergeCell ref="C28:D28"/>
    <mergeCell ref="E28:G28"/>
    <mergeCell ref="C3:P3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  <mergeCell ref="N5:N6"/>
    <mergeCell ref="P5:P6"/>
  </mergeCells>
  <conditionalFormatting sqref="D7:N22">
    <cfRule type="expression" dxfId="29" priority="3">
      <formula>AND($P7=D7, $P7&lt;&gt;"")</formula>
    </cfRule>
    <cfRule type="expression" dxfId="28" priority="4">
      <formula>AND($P7&lt;&gt;D7, $P7&lt;&gt;"")</formula>
    </cfRule>
  </conditionalFormatting>
  <conditionalFormatting sqref="D26:N26">
    <cfRule type="expression" dxfId="27" priority="1">
      <formula>AND(--LEFT(D26,FIND("-",D26)-1) = MAX(--LEFT($D$26:$N$26,FIND("-",$D$26:$N$26)-1)), COUNTIF($D$26:$N$26, MAX(--LEFT($D$26:$N$26,FIND("-",$D$26:$N$26)-1)) &amp; "-*") &gt; 1)</formula>
    </cfRule>
    <cfRule type="expression" dxfId="26" priority="2">
      <formula>AND(--LEFT(D26,FIND("-",D26)-1) = MAX(--LEFT($D$26:$N$26,FIND("-",$D$26:$N$26)-1)), COUNTIF($D$26:$N$26, MAX(--LEFT($D$26:$N$26,FIND("-",$D$26:$N$26)-1)) &amp; "-*") = 1)</formula>
    </cfRule>
  </conditionalFormatting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5" name="Button 1">
              <controlPr defaultSize="0" print="0" autoFill="0" autoPict="0" macro="[0]!UpdateCurrentSheet">
                <anchor moveWithCells="1" sizeWithCells="1">
                  <from>
                    <xdr:col>17</xdr:col>
                    <xdr:colOff>330200</xdr:colOff>
                    <xdr:row>2</xdr:row>
                    <xdr:rowOff>50800</xdr:rowOff>
                  </from>
                  <to>
                    <xdr:col>17</xdr:col>
                    <xdr:colOff>977900</xdr:colOff>
                    <xdr:row>2</xdr:row>
                    <xdr:rowOff>368300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11D0A7-4CD0-4712-969A-19525E59DF10}">
  <sheetPr codeName="Sheet10"/>
  <dimension ref="A2:R36"/>
  <sheetViews>
    <sheetView workbookViewId="0">
      <selection activeCell="E29" sqref="E29"/>
    </sheetView>
  </sheetViews>
  <sheetFormatPr baseColWidth="10" defaultColWidth="8.83203125" defaultRowHeight="15"/>
  <cols>
    <col min="2" max="2" width="1.6640625" customWidth="1"/>
    <col min="3" max="3" width="11.6640625" style="1" bestFit="1" customWidth="1"/>
    <col min="4" max="14" width="13.1640625" customWidth="1"/>
    <col min="15" max="15" width="1.6640625" customWidth="1"/>
    <col min="16" max="16" width="15.5" bestFit="1" customWidth="1"/>
    <col min="17" max="17" width="1.6640625" customWidth="1"/>
    <col min="18" max="18" width="24.83203125" customWidth="1"/>
    <col min="19" max="19" width="1.6640625" customWidth="1"/>
  </cols>
  <sheetData>
    <row r="2" spans="1:18" ht="15" customHeight="1" thickBot="1">
      <c r="B2" s="31"/>
      <c r="C2" s="30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</row>
    <row r="3" spans="1:18" ht="32.25" customHeight="1" thickBot="1">
      <c r="B3" s="27"/>
      <c r="C3" s="186" t="s">
        <v>91</v>
      </c>
      <c r="D3" s="186"/>
      <c r="E3" s="186"/>
      <c r="F3" s="186"/>
      <c r="G3" s="186"/>
      <c r="H3" s="186"/>
      <c r="I3" s="186"/>
      <c r="J3" s="186"/>
      <c r="K3" s="186"/>
      <c r="L3" s="186"/>
      <c r="M3" s="186"/>
      <c r="N3" s="186"/>
      <c r="O3" s="186"/>
      <c r="P3" s="186"/>
      <c r="Q3" s="28"/>
    </row>
    <row r="4" spans="1:18" ht="15" customHeight="1" thickBot="1">
      <c r="A4" s="20"/>
      <c r="B4" s="19"/>
      <c r="C4" s="14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6"/>
      <c r="P4" s="6"/>
      <c r="Q4" s="16"/>
      <c r="R4" s="2"/>
    </row>
    <row r="5" spans="1:18" ht="23.25" customHeight="1" thickTop="1">
      <c r="A5" s="20"/>
      <c r="B5" s="6"/>
      <c r="C5" s="187" t="s">
        <v>18</v>
      </c>
      <c r="D5" s="189" t="s">
        <v>14</v>
      </c>
      <c r="E5" s="191" t="s">
        <v>2</v>
      </c>
      <c r="F5" s="193" t="s">
        <v>3</v>
      </c>
      <c r="G5" s="193" t="s">
        <v>4</v>
      </c>
      <c r="H5" s="193" t="s">
        <v>5</v>
      </c>
      <c r="I5" s="189" t="s">
        <v>6</v>
      </c>
      <c r="J5" s="189" t="s">
        <v>7</v>
      </c>
      <c r="K5" s="189" t="s">
        <v>8</v>
      </c>
      <c r="L5" s="191" t="s">
        <v>9</v>
      </c>
      <c r="M5" s="193" t="s">
        <v>10</v>
      </c>
      <c r="N5" s="189" t="s">
        <v>11</v>
      </c>
      <c r="O5" s="6"/>
      <c r="P5" s="195" t="s">
        <v>12</v>
      </c>
      <c r="Q5" s="17"/>
      <c r="R5" s="204" t="s">
        <v>389</v>
      </c>
    </row>
    <row r="6" spans="1:18" ht="8" customHeight="1" thickBot="1">
      <c r="A6" s="20"/>
      <c r="B6" s="6"/>
      <c r="C6" s="188"/>
      <c r="D6" s="190"/>
      <c r="E6" s="192"/>
      <c r="F6" s="194"/>
      <c r="G6" s="194"/>
      <c r="H6" s="194"/>
      <c r="I6" s="190"/>
      <c r="J6" s="190"/>
      <c r="K6" s="190"/>
      <c r="L6" s="192"/>
      <c r="M6" s="194"/>
      <c r="N6" s="190"/>
      <c r="O6" s="6"/>
      <c r="P6" s="196"/>
      <c r="Q6" s="17"/>
      <c r="R6" s="205"/>
    </row>
    <row r="7" spans="1:18" ht="16" thickTop="1">
      <c r="A7" s="20"/>
      <c r="B7" s="21"/>
      <c r="C7" s="81" t="s">
        <v>247</v>
      </c>
      <c r="D7" s="51" t="s">
        <v>314</v>
      </c>
      <c r="E7" s="52" t="s">
        <v>314</v>
      </c>
      <c r="F7" s="53" t="s">
        <v>314</v>
      </c>
      <c r="G7" s="82" t="s">
        <v>314</v>
      </c>
      <c r="H7" s="83" t="s">
        <v>314</v>
      </c>
      <c r="I7" s="82" t="s">
        <v>314</v>
      </c>
      <c r="J7" s="82" t="s">
        <v>314</v>
      </c>
      <c r="K7" s="82" t="s">
        <v>314</v>
      </c>
      <c r="L7" s="82" t="s">
        <v>314</v>
      </c>
      <c r="M7" s="82" t="s">
        <v>314</v>
      </c>
      <c r="N7" s="84" t="s">
        <v>314</v>
      </c>
      <c r="O7" s="36"/>
      <c r="P7" s="56" t="s">
        <v>322</v>
      </c>
      <c r="Q7" s="17"/>
      <c r="R7" s="117" t="s">
        <v>507</v>
      </c>
    </row>
    <row r="8" spans="1:18">
      <c r="A8" s="20"/>
      <c r="B8" s="21"/>
      <c r="C8" s="85" t="s">
        <v>248</v>
      </c>
      <c r="D8" s="57" t="s">
        <v>315</v>
      </c>
      <c r="E8" s="58" t="s">
        <v>315</v>
      </c>
      <c r="F8" s="59" t="s">
        <v>315</v>
      </c>
      <c r="G8" s="86" t="s">
        <v>315</v>
      </c>
      <c r="H8" s="87" t="s">
        <v>327</v>
      </c>
      <c r="I8" s="86" t="s">
        <v>315</v>
      </c>
      <c r="J8" s="86" t="s">
        <v>315</v>
      </c>
      <c r="K8" s="86" t="s">
        <v>315</v>
      </c>
      <c r="L8" s="86" t="s">
        <v>327</v>
      </c>
      <c r="M8" s="86" t="s">
        <v>315</v>
      </c>
      <c r="N8" s="88" t="s">
        <v>315</v>
      </c>
      <c r="O8" s="36"/>
      <c r="P8" s="62" t="s">
        <v>315</v>
      </c>
      <c r="Q8" s="17"/>
      <c r="R8" s="117" t="s">
        <v>508</v>
      </c>
    </row>
    <row r="9" spans="1:18">
      <c r="A9" s="20"/>
      <c r="B9" s="21"/>
      <c r="C9" s="89" t="s">
        <v>249</v>
      </c>
      <c r="D9" s="90" t="s">
        <v>309</v>
      </c>
      <c r="E9" s="91" t="s">
        <v>309</v>
      </c>
      <c r="F9" s="92" t="s">
        <v>309</v>
      </c>
      <c r="G9" s="92" t="s">
        <v>309</v>
      </c>
      <c r="H9" s="93" t="s">
        <v>309</v>
      </c>
      <c r="I9" s="92" t="s">
        <v>309</v>
      </c>
      <c r="J9" s="92" t="s">
        <v>309</v>
      </c>
      <c r="K9" s="92" t="s">
        <v>309</v>
      </c>
      <c r="L9" s="92" t="s">
        <v>309</v>
      </c>
      <c r="M9" s="92" t="s">
        <v>309</v>
      </c>
      <c r="N9" s="88" t="s">
        <v>318</v>
      </c>
      <c r="O9" s="36"/>
      <c r="P9" s="104" t="s">
        <v>309</v>
      </c>
      <c r="Q9" s="17"/>
      <c r="R9" s="117" t="s">
        <v>509</v>
      </c>
    </row>
    <row r="10" spans="1:18">
      <c r="A10" s="20"/>
      <c r="B10" s="21"/>
      <c r="C10" s="89" t="s">
        <v>250</v>
      </c>
      <c r="D10" s="90" t="s">
        <v>321</v>
      </c>
      <c r="E10" s="91" t="s">
        <v>321</v>
      </c>
      <c r="F10" s="92" t="s">
        <v>321</v>
      </c>
      <c r="G10" s="92" t="s">
        <v>321</v>
      </c>
      <c r="H10" s="93" t="s">
        <v>321</v>
      </c>
      <c r="I10" s="92" t="s">
        <v>321</v>
      </c>
      <c r="J10" s="92" t="s">
        <v>321</v>
      </c>
      <c r="K10" s="92" t="s">
        <v>321</v>
      </c>
      <c r="L10" s="92" t="s">
        <v>321</v>
      </c>
      <c r="M10" s="92" t="s">
        <v>321</v>
      </c>
      <c r="N10" s="88" t="s">
        <v>321</v>
      </c>
      <c r="O10" s="36"/>
      <c r="P10" s="104" t="s">
        <v>321</v>
      </c>
      <c r="Q10" s="17"/>
      <c r="R10" s="117" t="s">
        <v>510</v>
      </c>
    </row>
    <row r="11" spans="1:18">
      <c r="A11" s="20"/>
      <c r="B11" s="21"/>
      <c r="C11" s="89" t="s">
        <v>21</v>
      </c>
      <c r="D11" s="90" t="s">
        <v>333</v>
      </c>
      <c r="E11" s="91" t="s">
        <v>333</v>
      </c>
      <c r="F11" s="92" t="s">
        <v>333</v>
      </c>
      <c r="G11" s="92" t="s">
        <v>333</v>
      </c>
      <c r="H11" s="93" t="s">
        <v>333</v>
      </c>
      <c r="I11" s="92" t="s">
        <v>333</v>
      </c>
      <c r="J11" s="92" t="s">
        <v>333</v>
      </c>
      <c r="K11" s="92" t="s">
        <v>333</v>
      </c>
      <c r="L11" s="92" t="s">
        <v>333</v>
      </c>
      <c r="M11" s="92" t="s">
        <v>333</v>
      </c>
      <c r="N11" s="88" t="s">
        <v>333</v>
      </c>
      <c r="O11" s="36"/>
      <c r="P11" s="104" t="s">
        <v>333</v>
      </c>
      <c r="Q11" s="17"/>
      <c r="R11" s="117" t="s">
        <v>511</v>
      </c>
    </row>
    <row r="12" spans="1:18">
      <c r="A12" s="20"/>
      <c r="B12" s="21"/>
      <c r="C12" s="94" t="s">
        <v>251</v>
      </c>
      <c r="D12" s="95" t="s">
        <v>328</v>
      </c>
      <c r="E12" s="96" t="s">
        <v>328</v>
      </c>
      <c r="F12" s="82" t="s">
        <v>328</v>
      </c>
      <c r="G12" s="82" t="s">
        <v>328</v>
      </c>
      <c r="H12" s="83" t="s">
        <v>328</v>
      </c>
      <c r="I12" s="82" t="s">
        <v>328</v>
      </c>
      <c r="J12" s="82" t="s">
        <v>328</v>
      </c>
      <c r="K12" s="82" t="s">
        <v>337</v>
      </c>
      <c r="L12" s="82" t="s">
        <v>328</v>
      </c>
      <c r="M12" s="82" t="s">
        <v>328</v>
      </c>
      <c r="N12" s="84" t="s">
        <v>328</v>
      </c>
      <c r="O12" s="36"/>
      <c r="P12" s="104" t="s">
        <v>328</v>
      </c>
      <c r="Q12" s="17"/>
      <c r="R12" s="117" t="s">
        <v>512</v>
      </c>
    </row>
    <row r="13" spans="1:18">
      <c r="A13" s="20"/>
      <c r="B13" s="21"/>
      <c r="C13" s="89" t="s">
        <v>252</v>
      </c>
      <c r="D13" s="97" t="s">
        <v>308</v>
      </c>
      <c r="E13" s="98" t="s">
        <v>308</v>
      </c>
      <c r="F13" s="92" t="s">
        <v>308</v>
      </c>
      <c r="G13" s="92" t="s">
        <v>308</v>
      </c>
      <c r="H13" s="93" t="s">
        <v>308</v>
      </c>
      <c r="I13" s="92" t="s">
        <v>316</v>
      </c>
      <c r="J13" s="92" t="s">
        <v>316</v>
      </c>
      <c r="K13" s="92" t="s">
        <v>316</v>
      </c>
      <c r="L13" s="92" t="s">
        <v>316</v>
      </c>
      <c r="M13" s="92" t="s">
        <v>316</v>
      </c>
      <c r="N13" s="88" t="s">
        <v>316</v>
      </c>
      <c r="O13" s="36"/>
      <c r="P13" s="104" t="s">
        <v>316</v>
      </c>
      <c r="Q13" s="17"/>
      <c r="R13" s="117" t="s">
        <v>513</v>
      </c>
    </row>
    <row r="14" spans="1:18">
      <c r="A14" s="20"/>
      <c r="B14" s="21"/>
      <c r="C14" s="89" t="s">
        <v>253</v>
      </c>
      <c r="D14" s="97" t="s">
        <v>331</v>
      </c>
      <c r="E14" s="98" t="s">
        <v>331</v>
      </c>
      <c r="F14" s="92" t="s">
        <v>331</v>
      </c>
      <c r="G14" s="92" t="s">
        <v>331</v>
      </c>
      <c r="H14" s="93" t="s">
        <v>331</v>
      </c>
      <c r="I14" s="92" t="s">
        <v>331</v>
      </c>
      <c r="J14" s="92" t="s">
        <v>331</v>
      </c>
      <c r="K14" s="92" t="s">
        <v>331</v>
      </c>
      <c r="L14" s="92" t="s">
        <v>331</v>
      </c>
      <c r="M14" s="92" t="s">
        <v>331</v>
      </c>
      <c r="N14" s="88" t="s">
        <v>331</v>
      </c>
      <c r="O14" s="36"/>
      <c r="P14" s="104" t="s">
        <v>331</v>
      </c>
      <c r="Q14" s="17"/>
      <c r="R14" s="117" t="s">
        <v>514</v>
      </c>
    </row>
    <row r="15" spans="1:18">
      <c r="A15" s="20"/>
      <c r="B15" s="21"/>
      <c r="C15" s="89" t="s">
        <v>254</v>
      </c>
      <c r="D15" s="97" t="s">
        <v>325</v>
      </c>
      <c r="E15" s="98" t="s">
        <v>334</v>
      </c>
      <c r="F15" s="92" t="s">
        <v>334</v>
      </c>
      <c r="G15" s="92" t="s">
        <v>334</v>
      </c>
      <c r="H15" s="93" t="s">
        <v>334</v>
      </c>
      <c r="I15" s="92" t="s">
        <v>334</v>
      </c>
      <c r="J15" s="92" t="s">
        <v>334</v>
      </c>
      <c r="K15" s="92" t="s">
        <v>334</v>
      </c>
      <c r="L15" s="92" t="s">
        <v>325</v>
      </c>
      <c r="M15" s="92" t="s">
        <v>325</v>
      </c>
      <c r="N15" s="88" t="s">
        <v>334</v>
      </c>
      <c r="O15" s="36"/>
      <c r="P15" s="104" t="s">
        <v>325</v>
      </c>
      <c r="Q15" s="17"/>
      <c r="R15" s="117" t="s">
        <v>515</v>
      </c>
    </row>
    <row r="16" spans="1:18">
      <c r="A16" s="20"/>
      <c r="B16" s="21"/>
      <c r="C16" s="89" t="s">
        <v>255</v>
      </c>
      <c r="D16" s="97" t="s">
        <v>312</v>
      </c>
      <c r="E16" s="98" t="s">
        <v>312</v>
      </c>
      <c r="F16" s="92" t="s">
        <v>312</v>
      </c>
      <c r="G16" s="92" t="s">
        <v>312</v>
      </c>
      <c r="H16" s="93" t="s">
        <v>312</v>
      </c>
      <c r="I16" s="92" t="s">
        <v>312</v>
      </c>
      <c r="J16" s="92" t="s">
        <v>312</v>
      </c>
      <c r="K16" s="92" t="s">
        <v>312</v>
      </c>
      <c r="L16" s="92" t="s">
        <v>312</v>
      </c>
      <c r="M16" s="92" t="s">
        <v>312</v>
      </c>
      <c r="N16" s="88" t="s">
        <v>312</v>
      </c>
      <c r="O16" s="36"/>
      <c r="P16" s="104" t="s">
        <v>312</v>
      </c>
      <c r="Q16" s="17"/>
      <c r="R16" s="117" t="s">
        <v>517</v>
      </c>
    </row>
    <row r="17" spans="1:18">
      <c r="A17" s="20"/>
      <c r="B17" s="21"/>
      <c r="C17" s="89" t="s">
        <v>124</v>
      </c>
      <c r="D17" s="97" t="s">
        <v>336</v>
      </c>
      <c r="E17" s="98" t="s">
        <v>307</v>
      </c>
      <c r="F17" s="92" t="s">
        <v>307</v>
      </c>
      <c r="G17" s="92" t="s">
        <v>307</v>
      </c>
      <c r="H17" s="93" t="s">
        <v>307</v>
      </c>
      <c r="I17" s="92" t="s">
        <v>307</v>
      </c>
      <c r="J17" s="92" t="s">
        <v>307</v>
      </c>
      <c r="K17" s="92" t="s">
        <v>307</v>
      </c>
      <c r="L17" s="92" t="s">
        <v>307</v>
      </c>
      <c r="M17" s="92" t="s">
        <v>307</v>
      </c>
      <c r="N17" s="88" t="s">
        <v>307</v>
      </c>
      <c r="O17" s="36"/>
      <c r="P17" s="104" t="s">
        <v>336</v>
      </c>
      <c r="Q17" s="17"/>
      <c r="R17" s="117" t="s">
        <v>518</v>
      </c>
    </row>
    <row r="18" spans="1:18">
      <c r="A18" s="20"/>
      <c r="B18" s="21"/>
      <c r="C18" s="89" t="s">
        <v>47</v>
      </c>
      <c r="D18" s="97" t="s">
        <v>326</v>
      </c>
      <c r="E18" s="98" t="s">
        <v>326</v>
      </c>
      <c r="F18" s="92" t="s">
        <v>326</v>
      </c>
      <c r="G18" s="92" t="s">
        <v>324</v>
      </c>
      <c r="H18" s="93" t="s">
        <v>324</v>
      </c>
      <c r="I18" s="92" t="s">
        <v>324</v>
      </c>
      <c r="J18" s="92" t="s">
        <v>326</v>
      </c>
      <c r="K18" s="92" t="s">
        <v>324</v>
      </c>
      <c r="L18" s="92" t="s">
        <v>324</v>
      </c>
      <c r="M18" s="92" t="s">
        <v>326</v>
      </c>
      <c r="N18" s="88" t="s">
        <v>324</v>
      </c>
      <c r="O18" s="36"/>
      <c r="P18" s="104" t="s">
        <v>324</v>
      </c>
      <c r="Q18" s="17"/>
      <c r="R18" s="117" t="s">
        <v>516</v>
      </c>
    </row>
    <row r="19" spans="1:18">
      <c r="A19" s="20"/>
      <c r="B19" s="21"/>
      <c r="C19" s="89" t="s">
        <v>256</v>
      </c>
      <c r="D19" s="97" t="s">
        <v>330</v>
      </c>
      <c r="E19" s="98" t="s">
        <v>330</v>
      </c>
      <c r="F19" s="92" t="s">
        <v>330</v>
      </c>
      <c r="G19" s="92" t="s">
        <v>330</v>
      </c>
      <c r="H19" s="93" t="s">
        <v>317</v>
      </c>
      <c r="I19" s="92" t="s">
        <v>330</v>
      </c>
      <c r="J19" s="92" t="s">
        <v>330</v>
      </c>
      <c r="K19" s="92" t="s">
        <v>317</v>
      </c>
      <c r="L19" s="92" t="s">
        <v>330</v>
      </c>
      <c r="M19" s="92" t="s">
        <v>330</v>
      </c>
      <c r="N19" s="88" t="s">
        <v>330</v>
      </c>
      <c r="O19" s="36"/>
      <c r="P19" s="104" t="s">
        <v>330</v>
      </c>
      <c r="Q19" s="17"/>
      <c r="R19" s="117" t="s">
        <v>519</v>
      </c>
    </row>
    <row r="20" spans="1:18">
      <c r="A20" s="20"/>
      <c r="B20" s="21"/>
      <c r="C20" s="89" t="s">
        <v>257</v>
      </c>
      <c r="D20" s="97" t="s">
        <v>320</v>
      </c>
      <c r="E20" s="98" t="s">
        <v>320</v>
      </c>
      <c r="F20" s="92" t="s">
        <v>320</v>
      </c>
      <c r="G20" s="92" t="s">
        <v>320</v>
      </c>
      <c r="H20" s="93" t="s">
        <v>320</v>
      </c>
      <c r="I20" s="92" t="s">
        <v>320</v>
      </c>
      <c r="J20" s="92" t="s">
        <v>320</v>
      </c>
      <c r="K20" s="92" t="s">
        <v>320</v>
      </c>
      <c r="L20" s="92" t="s">
        <v>320</v>
      </c>
      <c r="M20" s="92" t="s">
        <v>320</v>
      </c>
      <c r="N20" s="88" t="s">
        <v>320</v>
      </c>
      <c r="O20" s="36"/>
      <c r="P20" s="104" t="s">
        <v>320</v>
      </c>
      <c r="Q20" s="17"/>
      <c r="R20" s="117" t="s">
        <v>520</v>
      </c>
    </row>
    <row r="21" spans="1:18">
      <c r="A21" s="20"/>
      <c r="B21" s="21"/>
      <c r="C21" s="89"/>
      <c r="D21" s="97"/>
      <c r="E21" s="98"/>
      <c r="F21" s="92"/>
      <c r="G21" s="92"/>
      <c r="H21" s="93"/>
      <c r="I21" s="92"/>
      <c r="J21" s="92"/>
      <c r="K21" s="92"/>
      <c r="L21" s="92"/>
      <c r="M21" s="92"/>
      <c r="N21" s="88"/>
      <c r="O21" s="36"/>
      <c r="P21" s="104"/>
      <c r="Q21" s="17"/>
      <c r="R21" s="117"/>
    </row>
    <row r="22" spans="1:18" ht="16" thickBot="1">
      <c r="A22" s="20"/>
      <c r="B22" s="21"/>
      <c r="C22" s="99"/>
      <c r="D22" s="100"/>
      <c r="E22" s="101"/>
      <c r="F22" s="102"/>
      <c r="G22" s="102"/>
      <c r="H22" s="100"/>
      <c r="I22" s="102"/>
      <c r="J22" s="102"/>
      <c r="K22" s="102"/>
      <c r="L22" s="102"/>
      <c r="M22" s="102"/>
      <c r="N22" s="103"/>
      <c r="O22" s="36"/>
      <c r="P22" s="105"/>
      <c r="Q22" s="17"/>
      <c r="R22" s="118"/>
    </row>
    <row r="23" spans="1:18" ht="16" thickTop="1">
      <c r="A23" s="20"/>
      <c r="B23" s="6"/>
      <c r="C23" s="37"/>
      <c r="D23" s="38"/>
      <c r="E23" s="39"/>
      <c r="F23" s="38"/>
      <c r="G23" s="38"/>
      <c r="H23" s="40"/>
      <c r="I23" s="38"/>
      <c r="J23" s="38"/>
      <c r="K23" s="38"/>
      <c r="L23" s="38"/>
      <c r="M23" s="38"/>
      <c r="N23" s="38"/>
      <c r="O23" s="36"/>
      <c r="P23" s="41" t="s">
        <v>16</v>
      </c>
      <c r="Q23" s="17"/>
      <c r="R23" s="2"/>
    </row>
    <row r="24" spans="1:18">
      <c r="A24" s="20"/>
      <c r="B24" s="6"/>
      <c r="C24" s="42" t="s">
        <v>15</v>
      </c>
      <c r="D24" s="82">
        <v>51</v>
      </c>
      <c r="E24" s="107">
        <v>44</v>
      </c>
      <c r="F24" s="82">
        <v>44</v>
      </c>
      <c r="G24" s="82">
        <v>42</v>
      </c>
      <c r="H24" s="83">
        <v>54</v>
      </c>
      <c r="I24" s="82">
        <v>45</v>
      </c>
      <c r="J24" s="82">
        <v>45</v>
      </c>
      <c r="K24" s="82">
        <v>48</v>
      </c>
      <c r="L24" s="82">
        <v>41</v>
      </c>
      <c r="M24" s="82">
        <v>42</v>
      </c>
      <c r="N24" s="82">
        <v>49</v>
      </c>
      <c r="O24" s="36"/>
      <c r="P24" s="106">
        <v>29</v>
      </c>
      <c r="Q24" s="17"/>
      <c r="R24" s="2"/>
    </row>
    <row r="25" spans="1:18">
      <c r="A25" s="20"/>
      <c r="B25" s="6"/>
      <c r="C25" s="43"/>
      <c r="D25" s="38"/>
      <c r="E25" s="39"/>
      <c r="F25" s="38"/>
      <c r="G25" s="38"/>
      <c r="H25" s="40"/>
      <c r="I25" s="38"/>
      <c r="J25" s="38"/>
      <c r="K25" s="38"/>
      <c r="L25" s="38"/>
      <c r="M25" s="38"/>
      <c r="N25" s="38"/>
      <c r="O25" s="36"/>
      <c r="P25" s="36"/>
      <c r="Q25" s="17"/>
      <c r="R25" s="2"/>
    </row>
    <row r="26" spans="1:18">
      <c r="A26" s="20"/>
      <c r="B26" s="6"/>
      <c r="C26" s="44" t="s">
        <v>13</v>
      </c>
      <c r="D26" s="45" t="str" cm="1">
        <f t="array" ref="D26">SUMPRODUCT(--(D7:D22=$P$7:$P$22), --($P$7:$P$22&lt;&gt;"")) &amp; "-" &amp; SUMPRODUCT(--(D7:D22&lt;&gt;$P$7:$P$22), --($P$7:$P$22&lt;&gt;""))</f>
        <v>11-3</v>
      </c>
      <c r="E26" s="46" t="str" cm="1">
        <f t="array" ref="E26">SUMPRODUCT(--(E7:E22=$P$7:$P$22), --($P$7:$P$22&lt;&gt;"")) &amp; "-" &amp; SUMPRODUCT(--(E7:E22&lt;&gt;$P$7:$P$22), --($P$7:$P$22&lt;&gt;""))</f>
        <v>9-5</v>
      </c>
      <c r="F26" s="45" t="str" cm="1">
        <f t="array" ref="F26">SUMPRODUCT(--(F7:F22=$P$7:$P$22), --($P$7:$P$22&lt;&gt;"")) &amp; "-" &amp; SUMPRODUCT(--(F7:F22&lt;&gt;$P$7:$P$22), --($P$7:$P$22&lt;&gt;""))</f>
        <v>9-5</v>
      </c>
      <c r="G26" s="45" t="str" cm="1">
        <f t="array" ref="G26">SUMPRODUCT(--(G7:G22=$P$7:$P$22), --($P$7:$P$22&lt;&gt;"")) &amp; "-" &amp; SUMPRODUCT(--(G7:G22&lt;&gt;$P$7:$P$22), --($P$7:$P$22&lt;&gt;""))</f>
        <v>10-4</v>
      </c>
      <c r="H26" s="47" t="str" cm="1">
        <f t="array" ref="H26">SUMPRODUCT(--(H7:H22=$P$7:$P$22), --($P$7:$P$22&lt;&gt;"")) &amp; "-" &amp; SUMPRODUCT(--(H7:H22&lt;&gt;$P$7:$P$22), --($P$7:$P$22&lt;&gt;""))</f>
        <v>8-6</v>
      </c>
      <c r="I26" s="45" t="str" cm="1">
        <f t="array" ref="I26">SUMPRODUCT(--(I7:I22=$P$7:$P$22), --($P$7:$P$22&lt;&gt;"")) &amp; "-" &amp; SUMPRODUCT(--(I7:I22&lt;&gt;$P$7:$P$22), --($P$7:$P$22&lt;&gt;""))</f>
        <v>11-3</v>
      </c>
      <c r="J26" s="45" t="str" cm="1">
        <f t="array" ref="J26">SUMPRODUCT(--(J7:J22=$P$7:$P$22), --($P$7:$P$22&lt;&gt;"")) &amp; "-" &amp; SUMPRODUCT(--(J7:J22&lt;&gt;$P$7:$P$22), --($P$7:$P$22&lt;&gt;""))</f>
        <v>10-4</v>
      </c>
      <c r="K26" s="45" t="str" cm="1">
        <f t="array" ref="K26">SUMPRODUCT(--(K7:K22=$P$7:$P$22), --($P$7:$P$22&lt;&gt;"")) &amp; "-" &amp; SUMPRODUCT(--(K7:K22&lt;&gt;$P$7:$P$22), --($P$7:$P$22&lt;&gt;""))</f>
        <v>9-5</v>
      </c>
      <c r="L26" s="45" t="str" cm="1">
        <f t="array" ref="L26">SUMPRODUCT(--(L7:L22=$P$7:$P$22), --($P$7:$P$22&lt;&gt;"")) &amp; "-" &amp; SUMPRODUCT(--(L7:L22&lt;&gt;$P$7:$P$22), --($P$7:$P$22&lt;&gt;""))</f>
        <v>11-3</v>
      </c>
      <c r="M26" s="45" t="str" cm="1">
        <f t="array" ref="M26">SUMPRODUCT(--(M7:M22=$P$7:$P$22), --($P$7:$P$22&lt;&gt;"")) &amp; "-" &amp; SUMPRODUCT(--(M7:M22&lt;&gt;$P$7:$P$22), --($P$7:$P$22&lt;&gt;""))</f>
        <v>11-3</v>
      </c>
      <c r="N26" s="45" t="str" cm="1">
        <f t="array" ref="N26">SUMPRODUCT(--(N7:N22=$P$7:$P$22), --($P$7:$P$22&lt;&gt;"")) &amp; "-" &amp; SUMPRODUCT(--(N7:N22&lt;&gt;$P$7:$P$22), --($P$7:$P$22&lt;&gt;""))</f>
        <v>10-4</v>
      </c>
      <c r="O26" s="36"/>
      <c r="P26" s="36"/>
      <c r="Q26" s="17"/>
      <c r="R26" s="2"/>
    </row>
    <row r="27" spans="1:18">
      <c r="A27" s="20"/>
      <c r="B27" s="6"/>
      <c r="C27" s="7"/>
      <c r="D27" s="11">
        <f>VALUE(LEFT(D26,FIND("-",D26)-1)) - VALUE(MID(D26,FIND("-",D26)+1,LEN(D26)-FIND("-",D26)))</f>
        <v>8</v>
      </c>
      <c r="E27" s="11">
        <f t="shared" ref="E27:N27" si="0">VALUE(LEFT(E26,FIND("-",E26)-1)) - VALUE(MID(E26,FIND("-",E26)+1,LEN(E26)-FIND("-",E26)))</f>
        <v>4</v>
      </c>
      <c r="F27" s="11">
        <f t="shared" si="0"/>
        <v>4</v>
      </c>
      <c r="G27" s="11">
        <f t="shared" si="0"/>
        <v>6</v>
      </c>
      <c r="H27" s="11">
        <f t="shared" si="0"/>
        <v>2</v>
      </c>
      <c r="I27" s="11">
        <f t="shared" si="0"/>
        <v>8</v>
      </c>
      <c r="J27" s="11">
        <f t="shared" si="0"/>
        <v>6</v>
      </c>
      <c r="K27" s="11">
        <f t="shared" si="0"/>
        <v>4</v>
      </c>
      <c r="L27" s="11">
        <f t="shared" si="0"/>
        <v>8</v>
      </c>
      <c r="M27" s="11">
        <f t="shared" si="0"/>
        <v>8</v>
      </c>
      <c r="N27" s="11">
        <f t="shared" si="0"/>
        <v>6</v>
      </c>
      <c r="O27" s="6"/>
      <c r="P27" s="6"/>
      <c r="Q27" s="17"/>
      <c r="R27" s="2"/>
    </row>
    <row r="28" spans="1:18" ht="24" customHeight="1">
      <c r="A28" s="20"/>
      <c r="B28" s="12"/>
      <c r="C28" s="199" t="s">
        <v>17</v>
      </c>
      <c r="D28" s="200"/>
      <c r="E28" s="201" t="str" cm="1">
        <f t="array" ref="E28">IF(P24="", "",
   _xlfn.LET(
      _xlpm.scores, D27:N27,
      _xlpm.names, D5:N5,
      _xlpm.tiebreaks, D24:N24,
      _xlpm.guesses, D26:N26,
      _xlpm.maxScore, MAX(_xlpm.scores),
      _xlpm.topScorers, IF(_xlpm.scores=_xlpm.maxScore, 1, 0),
      _xlpm.tiebreakDiffs, IF(_xlpm.topScorers, ABS(_xlpm.tiebreaks - P24), ""),
      _xlpm.minDiff, MIN(IF(_xlpm.tiebreakDiffs&lt;&gt;"", _xlpm.tiebreakDiffs)),
      _xlpm.winners, IF((_xlpm.scores=_xlpm.maxScore)*(ABS(_xlpm.tiebreaks - P24)=_xlpm.minDiff), _xlpm.names, ""),
      _xlpm.guessMatch, INDEX(_xlpm.guesses, MATCH(1, (_xlpm.scores=_xlpm.maxScore)*(ABS(_xlpm.tiebreaks - P24)=_xlpm.minDiff), 0)),
      _xlpm.winnerList, _xlfn.TEXTJOIN(", ", TRUE, _xlpm.winners),
      IF(COUNTA(_xlfn._xlws.FILTER(_xlpm.winners, _xlpm.winners&lt;&gt;""))=1,
         _xlpm.winnerList &amp; " (" &amp; _xlpm.guessMatch &amp; ")",
         _xlpm.winnerList
      )
   )
)</f>
        <v>Mark C. (11-3)</v>
      </c>
      <c r="F28" s="202"/>
      <c r="G28" s="203"/>
      <c r="H28" s="6"/>
      <c r="I28" s="6"/>
      <c r="J28" s="6"/>
      <c r="K28" s="6"/>
      <c r="L28" s="6"/>
      <c r="M28" s="6"/>
      <c r="N28" s="6"/>
      <c r="O28" s="6"/>
      <c r="P28" s="6"/>
      <c r="Q28" s="17"/>
    </row>
    <row r="29" spans="1:18" ht="15" customHeight="1" thickBot="1">
      <c r="A29" s="20"/>
      <c r="B29" s="22"/>
      <c r="C29" s="32"/>
      <c r="D29" s="32"/>
      <c r="E29" s="33"/>
      <c r="F29" s="33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5"/>
    </row>
    <row r="30" spans="1:18" ht="16" thickTop="1">
      <c r="D30" s="1"/>
    </row>
    <row r="35" spans="9:9" ht="16" thickBot="1"/>
    <row r="36" spans="9:9" ht="16" thickTop="1">
      <c r="I36" s="13"/>
    </row>
  </sheetData>
  <sheetProtection selectLockedCells="1"/>
  <customSheetViews>
    <customSheetView guid="{096EED88-6BAE-D941-AE0E-0C5B75B09829}">
      <selection activeCell="E29" sqref="E29"/>
      <pageMargins left="0.7" right="0.7" top="0.75" bottom="0.75" header="0.3" footer="0.3"/>
      <pageSetup orientation="portrait" r:id="rId1"/>
    </customSheetView>
  </customSheetViews>
  <mergeCells count="17">
    <mergeCell ref="C3:P3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  <mergeCell ref="N5:N6"/>
    <mergeCell ref="P5:P6"/>
    <mergeCell ref="R5:R6"/>
    <mergeCell ref="C28:D28"/>
    <mergeCell ref="E28:G28"/>
  </mergeCells>
  <conditionalFormatting sqref="D7:N22">
    <cfRule type="expression" dxfId="25" priority="3">
      <formula>AND($P7=D7, $P7&lt;&gt;"")</formula>
    </cfRule>
    <cfRule type="expression" dxfId="24" priority="4">
      <formula>AND($P7&lt;&gt;D7, $P7&lt;&gt;"")</formula>
    </cfRule>
  </conditionalFormatting>
  <conditionalFormatting sqref="D26:N26">
    <cfRule type="expression" dxfId="23" priority="1">
      <formula>AND(--LEFT(D26,FIND("-",D26)-1) = MAX(--LEFT($D$26:$N$26,FIND("-",$D$26:$N$26)-1)), COUNTIF($D$26:$N$26, MAX(--LEFT($D$26:$N$26,FIND("-",$D$26:$N$26)-1)) &amp; "-*") &gt; 1)</formula>
    </cfRule>
    <cfRule type="expression" dxfId="22" priority="2">
      <formula>AND(--LEFT(D26,FIND("-",D26)-1) = MAX(--LEFT($D$26:$N$26,FIND("-",$D$26:$N$26)-1)), COUNTIF($D$26:$N$26, MAX(--LEFT($D$26:$N$26,FIND("-",$D$26:$N$26)-1)) &amp; "-*") = 1)</formula>
    </cfRule>
  </conditionalFormatting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5" name="Button 1">
              <controlPr defaultSize="0" print="0" autoFill="0" autoPict="0" macro="[0]!UpdateCurrentSheet">
                <anchor moveWithCells="1" sizeWithCells="1">
                  <from>
                    <xdr:col>17</xdr:col>
                    <xdr:colOff>508000</xdr:colOff>
                    <xdr:row>2</xdr:row>
                    <xdr:rowOff>50800</xdr:rowOff>
                  </from>
                  <to>
                    <xdr:col>17</xdr:col>
                    <xdr:colOff>1155700</xdr:colOff>
                    <xdr:row>2</xdr:row>
                    <xdr:rowOff>368300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C7995-8DBB-4CCF-A58D-1B6CBA1EAA4A}">
  <sheetPr codeName="Sheet11"/>
  <dimension ref="A2:R36"/>
  <sheetViews>
    <sheetView workbookViewId="0">
      <selection activeCell="E29" sqref="E29"/>
    </sheetView>
  </sheetViews>
  <sheetFormatPr baseColWidth="10" defaultColWidth="8.83203125" defaultRowHeight="15"/>
  <cols>
    <col min="2" max="2" width="1.6640625" customWidth="1"/>
    <col min="3" max="3" width="11.6640625" style="1" bestFit="1" customWidth="1"/>
    <col min="4" max="14" width="13.1640625" customWidth="1"/>
    <col min="15" max="15" width="1.6640625" customWidth="1"/>
    <col min="16" max="16" width="15.5" bestFit="1" customWidth="1"/>
    <col min="17" max="17" width="1.6640625" customWidth="1"/>
    <col min="18" max="18" width="24.83203125" customWidth="1"/>
    <col min="19" max="19" width="1.6640625" customWidth="1"/>
  </cols>
  <sheetData>
    <row r="2" spans="1:18" ht="15" customHeight="1" thickBot="1">
      <c r="B2" s="31"/>
      <c r="C2" s="30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</row>
    <row r="3" spans="1:18" ht="32.25" customHeight="1" thickBot="1">
      <c r="B3" s="27"/>
      <c r="C3" s="186" t="s">
        <v>97</v>
      </c>
      <c r="D3" s="186"/>
      <c r="E3" s="186"/>
      <c r="F3" s="186"/>
      <c r="G3" s="186"/>
      <c r="H3" s="186"/>
      <c r="I3" s="186"/>
      <c r="J3" s="186"/>
      <c r="K3" s="186"/>
      <c r="L3" s="186"/>
      <c r="M3" s="186"/>
      <c r="N3" s="186"/>
      <c r="O3" s="186"/>
      <c r="P3" s="186"/>
      <c r="Q3" s="28"/>
    </row>
    <row r="4" spans="1:18" ht="15" customHeight="1" thickBot="1">
      <c r="A4" s="20"/>
      <c r="B4" s="19"/>
      <c r="C4" s="14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6"/>
      <c r="P4" s="6"/>
      <c r="Q4" s="16"/>
      <c r="R4" s="2"/>
    </row>
    <row r="5" spans="1:18" ht="23.25" customHeight="1" thickTop="1">
      <c r="A5" s="20"/>
      <c r="B5" s="6"/>
      <c r="C5" s="187" t="s">
        <v>18</v>
      </c>
      <c r="D5" s="189" t="s">
        <v>14</v>
      </c>
      <c r="E5" s="191" t="s">
        <v>2</v>
      </c>
      <c r="F5" s="193" t="s">
        <v>3</v>
      </c>
      <c r="G5" s="193" t="s">
        <v>4</v>
      </c>
      <c r="H5" s="193" t="s">
        <v>5</v>
      </c>
      <c r="I5" s="189" t="s">
        <v>6</v>
      </c>
      <c r="J5" s="189" t="s">
        <v>7</v>
      </c>
      <c r="K5" s="189" t="s">
        <v>8</v>
      </c>
      <c r="L5" s="191" t="s">
        <v>9</v>
      </c>
      <c r="M5" s="193" t="s">
        <v>10</v>
      </c>
      <c r="N5" s="189" t="s">
        <v>11</v>
      </c>
      <c r="O5" s="6"/>
      <c r="P5" s="195" t="s">
        <v>12</v>
      </c>
      <c r="Q5" s="17"/>
      <c r="R5" s="204" t="s">
        <v>389</v>
      </c>
    </row>
    <row r="6" spans="1:18" ht="8" customHeight="1" thickBot="1">
      <c r="A6" s="20"/>
      <c r="B6" s="6"/>
      <c r="C6" s="188"/>
      <c r="D6" s="190"/>
      <c r="E6" s="192"/>
      <c r="F6" s="194"/>
      <c r="G6" s="194"/>
      <c r="H6" s="194"/>
      <c r="I6" s="190"/>
      <c r="J6" s="190"/>
      <c r="K6" s="190"/>
      <c r="L6" s="192"/>
      <c r="M6" s="194"/>
      <c r="N6" s="190"/>
      <c r="O6" s="6"/>
      <c r="P6" s="196"/>
      <c r="Q6" s="17"/>
      <c r="R6" s="205"/>
    </row>
    <row r="7" spans="1:18" ht="16" thickTop="1">
      <c r="A7" s="20"/>
      <c r="B7" s="21"/>
      <c r="C7" s="81" t="s">
        <v>77</v>
      </c>
      <c r="D7" s="51" t="s">
        <v>333</v>
      </c>
      <c r="E7" s="52" t="s">
        <v>321</v>
      </c>
      <c r="F7" s="53" t="s">
        <v>321</v>
      </c>
      <c r="G7" s="82" t="s">
        <v>321</v>
      </c>
      <c r="H7" s="83" t="s">
        <v>321</v>
      </c>
      <c r="I7" s="82" t="s">
        <v>321</v>
      </c>
      <c r="J7" s="82" t="s">
        <v>321</v>
      </c>
      <c r="K7" s="82" t="s">
        <v>321</v>
      </c>
      <c r="L7" s="82" t="s">
        <v>321</v>
      </c>
      <c r="M7" s="82" t="s">
        <v>321</v>
      </c>
      <c r="N7" s="84" t="s">
        <v>321</v>
      </c>
      <c r="O7" s="36"/>
      <c r="P7" s="56" t="s">
        <v>333</v>
      </c>
      <c r="Q7" s="17"/>
      <c r="R7" s="117" t="s">
        <v>521</v>
      </c>
    </row>
    <row r="8" spans="1:18">
      <c r="A8" s="20"/>
      <c r="B8" s="21"/>
      <c r="C8" s="85" t="s">
        <v>258</v>
      </c>
      <c r="D8" s="57" t="s">
        <v>316</v>
      </c>
      <c r="E8" s="58" t="s">
        <v>336</v>
      </c>
      <c r="F8" s="59" t="s">
        <v>316</v>
      </c>
      <c r="G8" s="86" t="s">
        <v>316</v>
      </c>
      <c r="H8" s="87" t="s">
        <v>316</v>
      </c>
      <c r="I8" s="86" t="s">
        <v>316</v>
      </c>
      <c r="J8" s="86" t="s">
        <v>316</v>
      </c>
      <c r="K8" s="86" t="s">
        <v>316</v>
      </c>
      <c r="L8" s="86" t="s">
        <v>316</v>
      </c>
      <c r="M8" s="86" t="s">
        <v>316</v>
      </c>
      <c r="N8" s="88" t="s">
        <v>316</v>
      </c>
      <c r="O8" s="36"/>
      <c r="P8" s="62" t="s">
        <v>336</v>
      </c>
      <c r="Q8" s="17"/>
      <c r="R8" s="117" t="s">
        <v>522</v>
      </c>
    </row>
    <row r="9" spans="1:18">
      <c r="A9" s="20"/>
      <c r="B9" s="21"/>
      <c r="C9" s="89" t="s">
        <v>54</v>
      </c>
      <c r="D9" s="90" t="s">
        <v>331</v>
      </c>
      <c r="E9" s="91" t="s">
        <v>331</v>
      </c>
      <c r="F9" s="92" t="s">
        <v>331</v>
      </c>
      <c r="G9" s="92" t="s">
        <v>331</v>
      </c>
      <c r="H9" s="93" t="s">
        <v>331</v>
      </c>
      <c r="I9" s="92" t="s">
        <v>331</v>
      </c>
      <c r="J9" s="92" t="s">
        <v>331</v>
      </c>
      <c r="K9" s="92" t="s">
        <v>331</v>
      </c>
      <c r="L9" s="92" t="s">
        <v>331</v>
      </c>
      <c r="M9" s="92" t="s">
        <v>331</v>
      </c>
      <c r="N9" s="88" t="s">
        <v>331</v>
      </c>
      <c r="O9" s="36"/>
      <c r="P9" s="104" t="s">
        <v>318</v>
      </c>
      <c r="Q9" s="17"/>
      <c r="R9" s="117" t="s">
        <v>523</v>
      </c>
    </row>
    <row r="10" spans="1:18">
      <c r="A10" s="20"/>
      <c r="B10" s="21"/>
      <c r="C10" s="89" t="s">
        <v>259</v>
      </c>
      <c r="D10" s="90" t="s">
        <v>307</v>
      </c>
      <c r="E10" s="91" t="s">
        <v>307</v>
      </c>
      <c r="F10" s="92" t="s">
        <v>315</v>
      </c>
      <c r="G10" s="92" t="s">
        <v>307</v>
      </c>
      <c r="H10" s="93" t="s">
        <v>307</v>
      </c>
      <c r="I10" s="92" t="s">
        <v>307</v>
      </c>
      <c r="J10" s="92" t="s">
        <v>307</v>
      </c>
      <c r="K10" s="92" t="s">
        <v>307</v>
      </c>
      <c r="L10" s="92" t="s">
        <v>307</v>
      </c>
      <c r="M10" s="92" t="s">
        <v>307</v>
      </c>
      <c r="N10" s="88" t="s">
        <v>307</v>
      </c>
      <c r="O10" s="36"/>
      <c r="P10" s="104" t="s">
        <v>315</v>
      </c>
      <c r="Q10" s="17"/>
      <c r="R10" s="117" t="s">
        <v>524</v>
      </c>
    </row>
    <row r="11" spans="1:18">
      <c r="A11" s="20"/>
      <c r="B11" s="21"/>
      <c r="C11" s="89" t="s">
        <v>260</v>
      </c>
      <c r="D11" s="90" t="s">
        <v>320</v>
      </c>
      <c r="E11" s="91" t="s">
        <v>320</v>
      </c>
      <c r="F11" s="92" t="s">
        <v>325</v>
      </c>
      <c r="G11" s="92" t="s">
        <v>320</v>
      </c>
      <c r="H11" s="93" t="s">
        <v>320</v>
      </c>
      <c r="I11" s="92" t="s">
        <v>320</v>
      </c>
      <c r="J11" s="92" t="s">
        <v>320</v>
      </c>
      <c r="K11" s="92" t="s">
        <v>320</v>
      </c>
      <c r="L11" s="92" t="s">
        <v>320</v>
      </c>
      <c r="M11" s="92" t="s">
        <v>320</v>
      </c>
      <c r="N11" s="88" t="s">
        <v>320</v>
      </c>
      <c r="O11" s="36"/>
      <c r="P11" s="104" t="s">
        <v>320</v>
      </c>
      <c r="Q11" s="17"/>
      <c r="R11" s="117" t="s">
        <v>525</v>
      </c>
    </row>
    <row r="12" spans="1:18">
      <c r="A12" s="20"/>
      <c r="B12" s="21"/>
      <c r="C12" s="94" t="s">
        <v>123</v>
      </c>
      <c r="D12" s="95" t="s">
        <v>312</v>
      </c>
      <c r="E12" s="96" t="s">
        <v>312</v>
      </c>
      <c r="F12" s="82" t="s">
        <v>312</v>
      </c>
      <c r="G12" s="82" t="s">
        <v>312</v>
      </c>
      <c r="H12" s="83" t="s">
        <v>312</v>
      </c>
      <c r="I12" s="82" t="s">
        <v>312</v>
      </c>
      <c r="J12" s="82" t="s">
        <v>312</v>
      </c>
      <c r="K12" s="82" t="s">
        <v>312</v>
      </c>
      <c r="L12" s="82" t="s">
        <v>312</v>
      </c>
      <c r="M12" s="82" t="s">
        <v>312</v>
      </c>
      <c r="N12" s="84" t="s">
        <v>312</v>
      </c>
      <c r="O12" s="36"/>
      <c r="P12" s="104" t="s">
        <v>312</v>
      </c>
      <c r="Q12" s="17"/>
      <c r="R12" s="117" t="s">
        <v>526</v>
      </c>
    </row>
    <row r="13" spans="1:18">
      <c r="A13" s="20"/>
      <c r="B13" s="21"/>
      <c r="C13" s="89" t="s">
        <v>72</v>
      </c>
      <c r="D13" s="97" t="s">
        <v>308</v>
      </c>
      <c r="E13" s="98" t="s">
        <v>308</v>
      </c>
      <c r="F13" s="92" t="s">
        <v>308</v>
      </c>
      <c r="G13" s="92" t="s">
        <v>308</v>
      </c>
      <c r="H13" s="93" t="s">
        <v>308</v>
      </c>
      <c r="I13" s="92" t="s">
        <v>308</v>
      </c>
      <c r="J13" s="92" t="s">
        <v>322</v>
      </c>
      <c r="K13" s="92" t="s">
        <v>308</v>
      </c>
      <c r="L13" s="92" t="s">
        <v>308</v>
      </c>
      <c r="M13" s="92" t="s">
        <v>322</v>
      </c>
      <c r="N13" s="88" t="s">
        <v>308</v>
      </c>
      <c r="O13" s="36"/>
      <c r="P13" s="104" t="s">
        <v>322</v>
      </c>
      <c r="Q13" s="17"/>
      <c r="R13" s="117" t="s">
        <v>527</v>
      </c>
    </row>
    <row r="14" spans="1:18">
      <c r="A14" s="20"/>
      <c r="B14" s="21"/>
      <c r="C14" s="89" t="s">
        <v>261</v>
      </c>
      <c r="D14" s="97" t="s">
        <v>329</v>
      </c>
      <c r="E14" s="98" t="s">
        <v>329</v>
      </c>
      <c r="F14" s="92" t="s">
        <v>329</v>
      </c>
      <c r="G14" s="92" t="s">
        <v>329</v>
      </c>
      <c r="H14" s="93" t="s">
        <v>329</v>
      </c>
      <c r="I14" s="92" t="s">
        <v>329</v>
      </c>
      <c r="J14" s="92" t="s">
        <v>329</v>
      </c>
      <c r="K14" s="92" t="s">
        <v>329</v>
      </c>
      <c r="L14" s="92" t="s">
        <v>329</v>
      </c>
      <c r="M14" s="92" t="s">
        <v>329</v>
      </c>
      <c r="N14" s="88" t="s">
        <v>329</v>
      </c>
      <c r="O14" s="36"/>
      <c r="P14" s="104" t="s">
        <v>329</v>
      </c>
      <c r="Q14" s="17"/>
      <c r="R14" s="117" t="s">
        <v>528</v>
      </c>
    </row>
    <row r="15" spans="1:18">
      <c r="A15" s="20"/>
      <c r="B15" s="21"/>
      <c r="C15" s="89" t="s">
        <v>262</v>
      </c>
      <c r="D15" s="97" t="s">
        <v>310</v>
      </c>
      <c r="E15" s="98" t="s">
        <v>324</v>
      </c>
      <c r="F15" s="92" t="s">
        <v>324</v>
      </c>
      <c r="G15" s="92" t="s">
        <v>324</v>
      </c>
      <c r="H15" s="93" t="s">
        <v>324</v>
      </c>
      <c r="I15" s="92" t="s">
        <v>324</v>
      </c>
      <c r="J15" s="92" t="s">
        <v>324</v>
      </c>
      <c r="K15" s="92" t="s">
        <v>324</v>
      </c>
      <c r="L15" s="92" t="s">
        <v>324</v>
      </c>
      <c r="M15" s="92" t="s">
        <v>324</v>
      </c>
      <c r="N15" s="88" t="s">
        <v>324</v>
      </c>
      <c r="O15" s="36"/>
      <c r="P15" s="104" t="s">
        <v>310</v>
      </c>
      <c r="Q15" s="17"/>
      <c r="R15" s="117" t="s">
        <v>529</v>
      </c>
    </row>
    <row r="16" spans="1:18">
      <c r="A16" s="20"/>
      <c r="B16" s="21"/>
      <c r="C16" s="89" t="s">
        <v>263</v>
      </c>
      <c r="D16" s="97" t="s">
        <v>317</v>
      </c>
      <c r="E16" s="98" t="s">
        <v>317</v>
      </c>
      <c r="F16" s="92" t="s">
        <v>317</v>
      </c>
      <c r="G16" s="92" t="s">
        <v>317</v>
      </c>
      <c r="H16" s="93" t="s">
        <v>319</v>
      </c>
      <c r="I16" s="92" t="s">
        <v>317</v>
      </c>
      <c r="J16" s="92" t="s">
        <v>317</v>
      </c>
      <c r="K16" s="92" t="s">
        <v>317</v>
      </c>
      <c r="L16" s="92" t="s">
        <v>319</v>
      </c>
      <c r="M16" s="92" t="s">
        <v>317</v>
      </c>
      <c r="N16" s="88" t="s">
        <v>317</v>
      </c>
      <c r="O16" s="36"/>
      <c r="P16" s="104" t="s">
        <v>317</v>
      </c>
      <c r="Q16" s="17"/>
      <c r="R16" s="117" t="s">
        <v>530</v>
      </c>
    </row>
    <row r="17" spans="1:18">
      <c r="A17" s="20"/>
      <c r="B17" s="21"/>
      <c r="C17" s="89" t="s">
        <v>264</v>
      </c>
      <c r="D17" s="97" t="s">
        <v>330</v>
      </c>
      <c r="E17" s="98" t="s">
        <v>330</v>
      </c>
      <c r="F17" s="92" t="s">
        <v>330</v>
      </c>
      <c r="G17" s="92" t="s">
        <v>330</v>
      </c>
      <c r="H17" s="93" t="s">
        <v>330</v>
      </c>
      <c r="I17" s="92" t="s">
        <v>330</v>
      </c>
      <c r="J17" s="92" t="s">
        <v>330</v>
      </c>
      <c r="K17" s="92" t="s">
        <v>330</v>
      </c>
      <c r="L17" s="92" t="s">
        <v>330</v>
      </c>
      <c r="M17" s="92" t="s">
        <v>330</v>
      </c>
      <c r="N17" s="88" t="s">
        <v>330</v>
      </c>
      <c r="O17" s="36"/>
      <c r="P17" s="104" t="s">
        <v>338</v>
      </c>
      <c r="Q17" s="17"/>
      <c r="R17" s="117" t="s">
        <v>531</v>
      </c>
    </row>
    <row r="18" spans="1:18">
      <c r="A18" s="20"/>
      <c r="B18" s="21"/>
      <c r="C18" s="89" t="s">
        <v>265</v>
      </c>
      <c r="D18" s="97" t="s">
        <v>328</v>
      </c>
      <c r="E18" s="98" t="s">
        <v>328</v>
      </c>
      <c r="F18" s="92" t="s">
        <v>328</v>
      </c>
      <c r="G18" s="92" t="s">
        <v>328</v>
      </c>
      <c r="H18" s="93" t="s">
        <v>328</v>
      </c>
      <c r="I18" s="92" t="s">
        <v>328</v>
      </c>
      <c r="J18" s="92" t="s">
        <v>328</v>
      </c>
      <c r="K18" s="92" t="s">
        <v>328</v>
      </c>
      <c r="L18" s="92" t="s">
        <v>328</v>
      </c>
      <c r="M18" s="92" t="s">
        <v>328</v>
      </c>
      <c r="N18" s="88" t="s">
        <v>328</v>
      </c>
      <c r="O18" s="36"/>
      <c r="P18" s="104" t="s">
        <v>328</v>
      </c>
      <c r="Q18" s="17"/>
      <c r="R18" s="117" t="s">
        <v>532</v>
      </c>
    </row>
    <row r="19" spans="1:18">
      <c r="A19" s="20"/>
      <c r="B19" s="21"/>
      <c r="C19" s="89" t="s">
        <v>266</v>
      </c>
      <c r="D19" s="97" t="s">
        <v>314</v>
      </c>
      <c r="E19" s="98" t="s">
        <v>314</v>
      </c>
      <c r="F19" s="92" t="s">
        <v>314</v>
      </c>
      <c r="G19" s="92" t="s">
        <v>314</v>
      </c>
      <c r="H19" s="93" t="s">
        <v>314</v>
      </c>
      <c r="I19" s="92" t="s">
        <v>327</v>
      </c>
      <c r="J19" s="92" t="s">
        <v>314</v>
      </c>
      <c r="K19" s="92" t="s">
        <v>327</v>
      </c>
      <c r="L19" s="92" t="s">
        <v>314</v>
      </c>
      <c r="M19" s="92" t="s">
        <v>314</v>
      </c>
      <c r="N19" s="88" t="s">
        <v>314</v>
      </c>
      <c r="O19" s="36"/>
      <c r="P19" s="104" t="s">
        <v>314</v>
      </c>
      <c r="Q19" s="17"/>
      <c r="R19" s="117" t="s">
        <v>533</v>
      </c>
    </row>
    <row r="20" spans="1:18">
      <c r="A20" s="20"/>
      <c r="B20" s="21"/>
      <c r="C20" s="89" t="s">
        <v>130</v>
      </c>
      <c r="D20" s="97" t="s">
        <v>323</v>
      </c>
      <c r="E20" s="98" t="s">
        <v>323</v>
      </c>
      <c r="F20" s="92" t="s">
        <v>323</v>
      </c>
      <c r="G20" s="92" t="s">
        <v>323</v>
      </c>
      <c r="H20" s="93" t="s">
        <v>323</v>
      </c>
      <c r="I20" s="92" t="s">
        <v>323</v>
      </c>
      <c r="J20" s="92" t="s">
        <v>323</v>
      </c>
      <c r="K20" s="92" t="s">
        <v>323</v>
      </c>
      <c r="L20" s="92" t="s">
        <v>323</v>
      </c>
      <c r="M20" s="92" t="s">
        <v>323</v>
      </c>
      <c r="N20" s="88" t="s">
        <v>323</v>
      </c>
      <c r="O20" s="36"/>
      <c r="P20" s="104" t="s">
        <v>323</v>
      </c>
      <c r="Q20" s="17"/>
      <c r="R20" s="117" t="s">
        <v>534</v>
      </c>
    </row>
    <row r="21" spans="1:18">
      <c r="A21" s="20"/>
      <c r="B21" s="21"/>
      <c r="C21" s="89" t="s">
        <v>267</v>
      </c>
      <c r="D21" s="97" t="s">
        <v>313</v>
      </c>
      <c r="E21" s="98" t="s">
        <v>313</v>
      </c>
      <c r="F21" s="92" t="s">
        <v>313</v>
      </c>
      <c r="G21" s="92" t="s">
        <v>313</v>
      </c>
      <c r="H21" s="93" t="s">
        <v>313</v>
      </c>
      <c r="I21" s="92" t="s">
        <v>313</v>
      </c>
      <c r="J21" s="92" t="s">
        <v>313</v>
      </c>
      <c r="K21" s="92" t="s">
        <v>313</v>
      </c>
      <c r="L21" s="92" t="s">
        <v>313</v>
      </c>
      <c r="M21" s="92" t="s">
        <v>313</v>
      </c>
      <c r="N21" s="88" t="s">
        <v>313</v>
      </c>
      <c r="O21" s="36"/>
      <c r="P21" s="104" t="s">
        <v>313</v>
      </c>
      <c r="Q21" s="17"/>
      <c r="R21" s="117" t="s">
        <v>535</v>
      </c>
    </row>
    <row r="22" spans="1:18" ht="16" thickBot="1">
      <c r="A22" s="20"/>
      <c r="B22" s="21"/>
      <c r="C22" s="99" t="s">
        <v>268</v>
      </c>
      <c r="D22" s="100" t="s">
        <v>309</v>
      </c>
      <c r="E22" s="101" t="s">
        <v>309</v>
      </c>
      <c r="F22" s="102" t="s">
        <v>309</v>
      </c>
      <c r="G22" s="102" t="s">
        <v>309</v>
      </c>
      <c r="H22" s="100" t="s">
        <v>309</v>
      </c>
      <c r="I22" s="102" t="s">
        <v>309</v>
      </c>
      <c r="J22" s="102" t="s">
        <v>309</v>
      </c>
      <c r="K22" s="102" t="s">
        <v>309</v>
      </c>
      <c r="L22" s="102" t="s">
        <v>309</v>
      </c>
      <c r="M22" s="102" t="s">
        <v>309</v>
      </c>
      <c r="N22" s="103" t="s">
        <v>309</v>
      </c>
      <c r="O22" s="36"/>
      <c r="P22" s="105" t="s">
        <v>309</v>
      </c>
      <c r="Q22" s="17"/>
      <c r="R22" s="118" t="s">
        <v>536</v>
      </c>
    </row>
    <row r="23" spans="1:18" ht="16" thickTop="1">
      <c r="A23" s="20"/>
      <c r="B23" s="6"/>
      <c r="C23" s="37"/>
      <c r="D23" s="38"/>
      <c r="E23" s="39"/>
      <c r="F23" s="38"/>
      <c r="G23" s="38"/>
      <c r="H23" s="40"/>
      <c r="I23" s="38"/>
      <c r="J23" s="38"/>
      <c r="K23" s="38"/>
      <c r="L23" s="38"/>
      <c r="M23" s="38"/>
      <c r="N23" s="38"/>
      <c r="O23" s="36"/>
      <c r="P23" s="41" t="s">
        <v>16</v>
      </c>
      <c r="Q23" s="17"/>
      <c r="R23" s="2"/>
    </row>
    <row r="24" spans="1:18">
      <c r="A24" s="20"/>
      <c r="B24" s="6"/>
      <c r="C24" s="42" t="s">
        <v>15</v>
      </c>
      <c r="D24" s="82">
        <v>49</v>
      </c>
      <c r="E24" s="107">
        <v>43</v>
      </c>
      <c r="F24" s="82">
        <v>47</v>
      </c>
      <c r="G24" s="82">
        <v>46</v>
      </c>
      <c r="H24" s="83">
        <v>47</v>
      </c>
      <c r="I24" s="82">
        <v>45</v>
      </c>
      <c r="J24" s="82">
        <v>38</v>
      </c>
      <c r="K24" s="82">
        <v>39</v>
      </c>
      <c r="L24" s="82">
        <v>41</v>
      </c>
      <c r="M24" s="82">
        <v>41</v>
      </c>
      <c r="N24" s="82">
        <v>46</v>
      </c>
      <c r="O24" s="36"/>
      <c r="P24" s="106">
        <v>48</v>
      </c>
      <c r="Q24" s="17"/>
      <c r="R24" s="2"/>
    </row>
    <row r="25" spans="1:18">
      <c r="A25" s="20"/>
      <c r="B25" s="6"/>
      <c r="C25" s="43"/>
      <c r="D25" s="38"/>
      <c r="E25" s="39"/>
      <c r="F25" s="38"/>
      <c r="G25" s="38"/>
      <c r="H25" s="40"/>
      <c r="I25" s="38"/>
      <c r="J25" s="38"/>
      <c r="K25" s="38"/>
      <c r="L25" s="38"/>
      <c r="M25" s="38"/>
      <c r="N25" s="38"/>
      <c r="O25" s="36"/>
      <c r="P25" s="36"/>
      <c r="Q25" s="17"/>
      <c r="R25" s="2"/>
    </row>
    <row r="26" spans="1:18">
      <c r="A26" s="20"/>
      <c r="B26" s="6"/>
      <c r="C26" s="44" t="s">
        <v>13</v>
      </c>
      <c r="D26" s="45" t="str" cm="1">
        <f t="array" ref="D26">SUMPRODUCT(--(D7:D22=$P$7:$P$22), --($P$7:$P$22&lt;&gt;"")) &amp; "-" &amp; SUMPRODUCT(--(D7:D22&lt;&gt;$P$7:$P$22), --($P$7:$P$22&lt;&gt;""))</f>
        <v>11-5</v>
      </c>
      <c r="E26" s="46" t="str" cm="1">
        <f t="array" ref="E26">SUMPRODUCT(--(E7:E22=$P$7:$P$22), --($P$7:$P$22&lt;&gt;"")) &amp; "-" &amp; SUMPRODUCT(--(E7:E22&lt;&gt;$P$7:$P$22), --($P$7:$P$22&lt;&gt;""))</f>
        <v>10-6</v>
      </c>
      <c r="F26" s="45" t="str" cm="1">
        <f t="array" ref="F26">SUMPRODUCT(--(F7:F22=$P$7:$P$22), --($P$7:$P$22&lt;&gt;"")) &amp; "-" &amp; SUMPRODUCT(--(F7:F22&lt;&gt;$P$7:$P$22), --($P$7:$P$22&lt;&gt;""))</f>
        <v>9-7</v>
      </c>
      <c r="G26" s="45" t="str" cm="1">
        <f t="array" ref="G26">SUMPRODUCT(--(G7:G22=$P$7:$P$22), --($P$7:$P$22&lt;&gt;"")) &amp; "-" &amp; SUMPRODUCT(--(G7:G22&lt;&gt;$P$7:$P$22), --($P$7:$P$22&lt;&gt;""))</f>
        <v>9-7</v>
      </c>
      <c r="H26" s="47" t="str" cm="1">
        <f t="array" ref="H26">SUMPRODUCT(--(H7:H22=$P$7:$P$22), --($P$7:$P$22&lt;&gt;"")) &amp; "-" &amp; SUMPRODUCT(--(H7:H22&lt;&gt;$P$7:$P$22), --($P$7:$P$22&lt;&gt;""))</f>
        <v>8-8</v>
      </c>
      <c r="I26" s="45" t="str" cm="1">
        <f t="array" ref="I26">SUMPRODUCT(--(I7:I22=$P$7:$P$22), --($P$7:$P$22&lt;&gt;"")) &amp; "-" &amp; SUMPRODUCT(--(I7:I22&lt;&gt;$P$7:$P$22), --($P$7:$P$22&lt;&gt;""))</f>
        <v>8-8</v>
      </c>
      <c r="J26" s="45" t="str" cm="1">
        <f t="array" ref="J26">SUMPRODUCT(--(J7:J22=$P$7:$P$22), --($P$7:$P$22&lt;&gt;"")) &amp; "-" &amp; SUMPRODUCT(--(J7:J22&lt;&gt;$P$7:$P$22), --($P$7:$P$22&lt;&gt;""))</f>
        <v>10-6</v>
      </c>
      <c r="K26" s="45" t="str" cm="1">
        <f t="array" ref="K26">SUMPRODUCT(--(K7:K22=$P$7:$P$22), --($P$7:$P$22&lt;&gt;"")) &amp; "-" &amp; SUMPRODUCT(--(K7:K22&lt;&gt;$P$7:$P$22), --($P$7:$P$22&lt;&gt;""))</f>
        <v>8-8</v>
      </c>
      <c r="L26" s="45" t="str" cm="1">
        <f t="array" ref="L26">SUMPRODUCT(--(L7:L22=$P$7:$P$22), --($P$7:$P$22&lt;&gt;"")) &amp; "-" &amp; SUMPRODUCT(--(L7:L22&lt;&gt;$P$7:$P$22), --($P$7:$P$22&lt;&gt;""))</f>
        <v>8-8</v>
      </c>
      <c r="M26" s="45" t="str" cm="1">
        <f t="array" ref="M26">SUMPRODUCT(--(M7:M22=$P$7:$P$22), --($P$7:$P$22&lt;&gt;"")) &amp; "-" &amp; SUMPRODUCT(--(M7:M22&lt;&gt;$P$7:$P$22), --($P$7:$P$22&lt;&gt;""))</f>
        <v>10-6</v>
      </c>
      <c r="N26" s="45" t="str" cm="1">
        <f t="array" ref="N26">SUMPRODUCT(--(N7:N22=$P$7:$P$22), --($P$7:$P$22&lt;&gt;"")) &amp; "-" &amp; SUMPRODUCT(--(N7:N22&lt;&gt;$P$7:$P$22), --($P$7:$P$22&lt;&gt;""))</f>
        <v>9-7</v>
      </c>
      <c r="O26" s="36"/>
      <c r="P26" s="36"/>
      <c r="Q26" s="17"/>
      <c r="R26" s="2"/>
    </row>
    <row r="27" spans="1:18">
      <c r="A27" s="20"/>
      <c r="B27" s="6"/>
      <c r="C27" s="7"/>
      <c r="D27" s="11">
        <f>VALUE(LEFT(D26,FIND("-",D26)-1)) - VALUE(MID(D26,FIND("-",D26)+1,LEN(D26)-FIND("-",D26)))</f>
        <v>6</v>
      </c>
      <c r="E27" s="11">
        <f t="shared" ref="E27:N27" si="0">VALUE(LEFT(E26,FIND("-",E26)-1)) - VALUE(MID(E26,FIND("-",E26)+1,LEN(E26)-FIND("-",E26)))</f>
        <v>4</v>
      </c>
      <c r="F27" s="11">
        <f t="shared" si="0"/>
        <v>2</v>
      </c>
      <c r="G27" s="11">
        <f t="shared" si="0"/>
        <v>2</v>
      </c>
      <c r="H27" s="11">
        <f t="shared" si="0"/>
        <v>0</v>
      </c>
      <c r="I27" s="11">
        <f t="shared" si="0"/>
        <v>0</v>
      </c>
      <c r="J27" s="11">
        <f t="shared" si="0"/>
        <v>4</v>
      </c>
      <c r="K27" s="11">
        <f t="shared" si="0"/>
        <v>0</v>
      </c>
      <c r="L27" s="11">
        <f t="shared" si="0"/>
        <v>0</v>
      </c>
      <c r="M27" s="11">
        <f t="shared" si="0"/>
        <v>4</v>
      </c>
      <c r="N27" s="11">
        <f t="shared" si="0"/>
        <v>2</v>
      </c>
      <c r="O27" s="6"/>
      <c r="P27" s="6"/>
      <c r="Q27" s="17"/>
      <c r="R27" s="2"/>
    </row>
    <row r="28" spans="1:18" ht="24" customHeight="1">
      <c r="A28" s="20"/>
      <c r="B28" s="12"/>
      <c r="C28" s="199" t="s">
        <v>17</v>
      </c>
      <c r="D28" s="200"/>
      <c r="E28" s="201" t="str" cm="1">
        <f t="array" ref="E28">IF(P24="", "",
   _xlfn.LET(
      _xlpm.scores, D27:N27,
      _xlpm.names, D5:N5,
      _xlpm.tiebreaks, D24:N24,
      _xlpm.guesses, D26:N26,
      _xlpm.maxScore, MAX(_xlpm.scores),
      _xlpm.topScorers, IF(_xlpm.scores=_xlpm.maxScore, 1, 0),
      _xlpm.tiebreakDiffs, IF(_xlpm.topScorers, ABS(_xlpm.tiebreaks - P24), ""),
      _xlpm.minDiff, MIN(IF(_xlpm.tiebreakDiffs&lt;&gt;"", _xlpm.tiebreakDiffs)),
      _xlpm.winners, IF((_xlpm.scores=_xlpm.maxScore)*(ABS(_xlpm.tiebreaks - P24)=_xlpm.minDiff), _xlpm.names, ""),
      _xlpm.guessMatch, INDEX(_xlpm.guesses, MATCH(1, (_xlpm.scores=_xlpm.maxScore)*(ABS(_xlpm.tiebreaks - P24)=_xlpm.minDiff), 0)),
      _xlpm.winnerList, _xlfn.TEXTJOIN(", ", TRUE, _xlpm.winners),
      IF(COUNTA(_xlfn._xlws.FILTER(_xlpm.winners, _xlpm.winners&lt;&gt;""))=1,
         _xlpm.winnerList &amp; " (" &amp; _xlpm.guessMatch &amp; ")",
         _xlpm.winnerList
      )
   )
)</f>
        <v>CF&amp;SF (11-5)</v>
      </c>
      <c r="F28" s="202"/>
      <c r="G28" s="203"/>
      <c r="H28" s="6"/>
      <c r="I28" s="6"/>
      <c r="J28" s="6"/>
      <c r="K28" s="6"/>
      <c r="L28" s="6"/>
      <c r="M28" s="6"/>
      <c r="N28" s="6"/>
      <c r="O28" s="6"/>
      <c r="P28" s="6"/>
      <c r="Q28" s="17"/>
    </row>
    <row r="29" spans="1:18" ht="15" customHeight="1" thickBot="1">
      <c r="A29" s="20"/>
      <c r="B29" s="22"/>
      <c r="C29" s="32"/>
      <c r="D29" s="32"/>
      <c r="E29" s="33"/>
      <c r="F29" s="33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5"/>
    </row>
    <row r="30" spans="1:18" ht="16" thickTop="1">
      <c r="D30" s="1"/>
    </row>
    <row r="35" spans="9:9" ht="16" thickBot="1"/>
    <row r="36" spans="9:9" ht="16" thickTop="1">
      <c r="I36" s="13"/>
    </row>
  </sheetData>
  <sheetProtection selectLockedCells="1"/>
  <customSheetViews>
    <customSheetView guid="{096EED88-6BAE-D941-AE0E-0C5B75B09829}">
      <selection activeCell="E29" sqref="E29"/>
      <pageMargins left="0.7" right="0.7" top="0.75" bottom="0.75" header="0.3" footer="0.3"/>
      <pageSetup orientation="portrait" r:id="rId1"/>
    </customSheetView>
  </customSheetViews>
  <mergeCells count="17">
    <mergeCell ref="C3:P3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  <mergeCell ref="N5:N6"/>
    <mergeCell ref="P5:P6"/>
    <mergeCell ref="R5:R6"/>
    <mergeCell ref="C28:D28"/>
    <mergeCell ref="E28:G28"/>
  </mergeCells>
  <conditionalFormatting sqref="D7:N22">
    <cfRule type="expression" dxfId="21" priority="4">
      <formula>AND($P7=D7, $P7&lt;&gt;"")</formula>
    </cfRule>
    <cfRule type="expression" dxfId="20" priority="5">
      <formula>AND($P7&lt;&gt;D7, $P7&lt;&gt;"")</formula>
    </cfRule>
  </conditionalFormatting>
  <conditionalFormatting sqref="D26:N26">
    <cfRule type="expression" dxfId="19" priority="2">
      <formula>AND(--LEFT(D26,FIND("-",D26)-1) = MAX(--LEFT($D$26:$N$26,FIND("-",$D$26:$N$26)-1)), COUNTIF($D$26:$N$26, MAX(--LEFT($D$26:$N$26,FIND("-",$D$26:$N$26)-1)) &amp; "-*") &gt; 1)</formula>
    </cfRule>
    <cfRule type="expression" dxfId="18" priority="3">
      <formula>AND(--LEFT(D26,FIND("-",D26)-1) = MAX(--LEFT($D$26:$N$26,FIND("-",$D$26:$N$26)-1)), COUNTIF($D$26:$N$26, MAX(--LEFT($D$26:$N$26,FIND("-",$D$26:$N$26)-1)) &amp; "-*") = 1)</formula>
    </cfRule>
  </conditionalFormatting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5" name="Button 1">
              <controlPr defaultSize="0" print="0" autoFill="0" autoPict="0" macro="[0]!UpdateCurrentSheet">
                <anchor moveWithCells="1" sizeWithCells="1">
                  <from>
                    <xdr:col>17</xdr:col>
                    <xdr:colOff>584200</xdr:colOff>
                    <xdr:row>2</xdr:row>
                    <xdr:rowOff>25400</xdr:rowOff>
                  </from>
                  <to>
                    <xdr:col>17</xdr:col>
                    <xdr:colOff>1231900</xdr:colOff>
                    <xdr:row>2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730B-C500-48C2-8BB8-BE65B142AE1F}">
  <sheetPr codeName="Sheet12"/>
  <dimension ref="A2:R36"/>
  <sheetViews>
    <sheetView workbookViewId="0">
      <selection activeCell="E29" sqref="E29"/>
    </sheetView>
  </sheetViews>
  <sheetFormatPr baseColWidth="10" defaultColWidth="8.83203125" defaultRowHeight="15"/>
  <cols>
    <col min="2" max="2" width="1.6640625" customWidth="1"/>
    <col min="3" max="3" width="11.6640625" style="1" bestFit="1" customWidth="1"/>
    <col min="4" max="14" width="13.1640625" customWidth="1"/>
    <col min="15" max="15" width="1.6640625" customWidth="1"/>
    <col min="16" max="16" width="15.5" bestFit="1" customWidth="1"/>
    <col min="17" max="17" width="1.6640625" customWidth="1"/>
    <col min="18" max="18" width="24.83203125" customWidth="1"/>
    <col min="19" max="19" width="1.6640625" customWidth="1"/>
  </cols>
  <sheetData>
    <row r="2" spans="1:18" ht="15" customHeight="1" thickBot="1">
      <c r="B2" s="31"/>
      <c r="C2" s="30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</row>
    <row r="3" spans="1:18" ht="32.25" customHeight="1" thickBot="1">
      <c r="B3" s="27"/>
      <c r="C3" s="186" t="s">
        <v>96</v>
      </c>
      <c r="D3" s="186"/>
      <c r="E3" s="186"/>
      <c r="F3" s="186"/>
      <c r="G3" s="186"/>
      <c r="H3" s="186"/>
      <c r="I3" s="186"/>
      <c r="J3" s="186"/>
      <c r="K3" s="186"/>
      <c r="L3" s="186"/>
      <c r="M3" s="186"/>
      <c r="N3" s="186"/>
      <c r="O3" s="186"/>
      <c r="P3" s="186"/>
      <c r="Q3" s="28"/>
    </row>
    <row r="4" spans="1:18" ht="15" customHeight="1" thickBot="1">
      <c r="A4" s="20"/>
      <c r="B4" s="19"/>
      <c r="C4" s="14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6"/>
      <c r="P4" s="6"/>
      <c r="Q4" s="16"/>
      <c r="R4" s="2"/>
    </row>
    <row r="5" spans="1:18" ht="23.25" customHeight="1" thickTop="1">
      <c r="A5" s="20"/>
      <c r="B5" s="6"/>
      <c r="C5" s="187" t="s">
        <v>18</v>
      </c>
      <c r="D5" s="189" t="s">
        <v>14</v>
      </c>
      <c r="E5" s="191" t="s">
        <v>2</v>
      </c>
      <c r="F5" s="193" t="s">
        <v>3</v>
      </c>
      <c r="G5" s="193" t="s">
        <v>4</v>
      </c>
      <c r="H5" s="193" t="s">
        <v>5</v>
      </c>
      <c r="I5" s="189" t="s">
        <v>6</v>
      </c>
      <c r="J5" s="189" t="s">
        <v>7</v>
      </c>
      <c r="K5" s="189" t="s">
        <v>8</v>
      </c>
      <c r="L5" s="191" t="s">
        <v>9</v>
      </c>
      <c r="M5" s="193" t="s">
        <v>10</v>
      </c>
      <c r="N5" s="189" t="s">
        <v>11</v>
      </c>
      <c r="O5" s="6"/>
      <c r="P5" s="195" t="s">
        <v>12</v>
      </c>
      <c r="Q5" s="17"/>
      <c r="R5" s="204" t="s">
        <v>389</v>
      </c>
    </row>
    <row r="6" spans="1:18" ht="8" customHeight="1" thickBot="1">
      <c r="A6" s="20"/>
      <c r="B6" s="6"/>
      <c r="C6" s="188"/>
      <c r="D6" s="190"/>
      <c r="E6" s="192"/>
      <c r="F6" s="194"/>
      <c r="G6" s="194"/>
      <c r="H6" s="194"/>
      <c r="I6" s="190"/>
      <c r="J6" s="190"/>
      <c r="K6" s="190"/>
      <c r="L6" s="192"/>
      <c r="M6" s="194"/>
      <c r="N6" s="190"/>
      <c r="O6" s="6"/>
      <c r="P6" s="196"/>
      <c r="Q6" s="17"/>
      <c r="R6" s="205"/>
    </row>
    <row r="7" spans="1:18" ht="16" thickTop="1">
      <c r="A7" s="20"/>
      <c r="B7" s="21"/>
      <c r="C7" s="81" t="s">
        <v>64</v>
      </c>
      <c r="D7" s="152" t="s">
        <v>336</v>
      </c>
      <c r="E7" s="153" t="s">
        <v>336</v>
      </c>
      <c r="F7" s="154" t="s">
        <v>336</v>
      </c>
      <c r="G7" s="154"/>
      <c r="H7" s="155" t="s">
        <v>321</v>
      </c>
      <c r="I7" s="156" t="s">
        <v>321</v>
      </c>
      <c r="J7" s="156" t="s">
        <v>321</v>
      </c>
      <c r="K7" s="156" t="s">
        <v>321</v>
      </c>
      <c r="L7" s="154" t="s">
        <v>336</v>
      </c>
      <c r="M7" s="156" t="s">
        <v>321</v>
      </c>
      <c r="N7" s="157" t="s">
        <v>321</v>
      </c>
      <c r="O7" s="36"/>
      <c r="P7" s="56" t="s">
        <v>321</v>
      </c>
      <c r="Q7" s="17"/>
      <c r="R7" s="117" t="s">
        <v>537</v>
      </c>
    </row>
    <row r="8" spans="1:18">
      <c r="A8" s="20"/>
      <c r="B8" s="21"/>
      <c r="C8" s="85" t="s">
        <v>269</v>
      </c>
      <c r="D8" s="158" t="s">
        <v>328</v>
      </c>
      <c r="E8" s="159" t="s">
        <v>328</v>
      </c>
      <c r="F8" s="160" t="s">
        <v>328</v>
      </c>
      <c r="G8" s="161" t="s">
        <v>328</v>
      </c>
      <c r="H8" s="161" t="s">
        <v>328</v>
      </c>
      <c r="I8" s="161" t="s">
        <v>328</v>
      </c>
      <c r="J8" s="161" t="s">
        <v>328</v>
      </c>
      <c r="K8" s="161" t="s">
        <v>328</v>
      </c>
      <c r="L8" s="161" t="s">
        <v>328</v>
      </c>
      <c r="M8" s="161" t="s">
        <v>328</v>
      </c>
      <c r="N8" s="162" t="s">
        <v>324</v>
      </c>
      <c r="O8" s="36"/>
      <c r="P8" s="62" t="s">
        <v>328</v>
      </c>
      <c r="Q8" s="17"/>
      <c r="R8" s="117" t="s">
        <v>538</v>
      </c>
    </row>
    <row r="9" spans="1:18">
      <c r="A9" s="20"/>
      <c r="B9" s="21"/>
      <c r="C9" s="89" t="s">
        <v>270</v>
      </c>
      <c r="D9" s="163" t="s">
        <v>325</v>
      </c>
      <c r="E9" s="164" t="s">
        <v>325</v>
      </c>
      <c r="F9" s="165" t="s">
        <v>325</v>
      </c>
      <c r="G9" s="166" t="s">
        <v>325</v>
      </c>
      <c r="H9" s="166" t="s">
        <v>325</v>
      </c>
      <c r="I9" s="166" t="s">
        <v>325</v>
      </c>
      <c r="J9" s="166" t="s">
        <v>325</v>
      </c>
      <c r="K9" s="166" t="s">
        <v>325</v>
      </c>
      <c r="L9" s="166" t="s">
        <v>325</v>
      </c>
      <c r="M9" s="166" t="s">
        <v>325</v>
      </c>
      <c r="N9" s="167" t="s">
        <v>325</v>
      </c>
      <c r="O9" s="36"/>
      <c r="P9" s="104" t="s">
        <v>337</v>
      </c>
      <c r="Q9" s="17"/>
      <c r="R9" s="117" t="s">
        <v>539</v>
      </c>
    </row>
    <row r="10" spans="1:18">
      <c r="A10" s="20"/>
      <c r="B10" s="21"/>
      <c r="C10" s="89" t="s">
        <v>83</v>
      </c>
      <c r="D10" s="168" t="s">
        <v>333</v>
      </c>
      <c r="E10" s="169" t="s">
        <v>333</v>
      </c>
      <c r="F10" s="170" t="s">
        <v>333</v>
      </c>
      <c r="G10" s="171" t="s">
        <v>315</v>
      </c>
      <c r="H10" s="171" t="s">
        <v>333</v>
      </c>
      <c r="I10" s="171" t="s">
        <v>333</v>
      </c>
      <c r="J10" s="171" t="s">
        <v>333</v>
      </c>
      <c r="K10" s="171" t="s">
        <v>315</v>
      </c>
      <c r="L10" s="171" t="s">
        <v>333</v>
      </c>
      <c r="M10" s="171" t="s">
        <v>333</v>
      </c>
      <c r="N10" s="167" t="s">
        <v>333</v>
      </c>
      <c r="O10" s="36"/>
      <c r="P10" s="104" t="s">
        <v>333</v>
      </c>
      <c r="Q10" s="17"/>
      <c r="R10" s="117" t="s">
        <v>540</v>
      </c>
    </row>
    <row r="11" spans="1:18">
      <c r="A11" s="20"/>
      <c r="B11" s="21"/>
      <c r="C11" s="89" t="s">
        <v>271</v>
      </c>
      <c r="D11" s="168" t="s">
        <v>332</v>
      </c>
      <c r="E11" s="169" t="s">
        <v>332</v>
      </c>
      <c r="F11" s="170" t="s">
        <v>311</v>
      </c>
      <c r="G11" s="171" t="s">
        <v>332</v>
      </c>
      <c r="H11" s="171" t="s">
        <v>332</v>
      </c>
      <c r="I11" s="171" t="s">
        <v>332</v>
      </c>
      <c r="J11" s="171" t="s">
        <v>311</v>
      </c>
      <c r="K11" s="171" t="s">
        <v>332</v>
      </c>
      <c r="L11" s="171" t="s">
        <v>311</v>
      </c>
      <c r="M11" s="171" t="s">
        <v>332</v>
      </c>
      <c r="N11" s="167" t="s">
        <v>311</v>
      </c>
      <c r="O11" s="36"/>
      <c r="P11" s="104" t="s">
        <v>332</v>
      </c>
      <c r="Q11" s="17"/>
      <c r="R11" s="117" t="s">
        <v>541</v>
      </c>
    </row>
    <row r="12" spans="1:18">
      <c r="A12" s="20"/>
      <c r="B12" s="21"/>
      <c r="C12" s="94" t="s">
        <v>105</v>
      </c>
      <c r="D12" s="172" t="s">
        <v>310</v>
      </c>
      <c r="E12" s="173" t="s">
        <v>329</v>
      </c>
      <c r="F12" s="174" t="s">
        <v>329</v>
      </c>
      <c r="G12" s="175" t="s">
        <v>329</v>
      </c>
      <c r="H12" s="175" t="s">
        <v>310</v>
      </c>
      <c r="I12" s="175" t="s">
        <v>329</v>
      </c>
      <c r="J12" s="175" t="s">
        <v>329</v>
      </c>
      <c r="K12" s="175" t="s">
        <v>329</v>
      </c>
      <c r="L12" s="175" t="s">
        <v>329</v>
      </c>
      <c r="M12" s="175" t="s">
        <v>310</v>
      </c>
      <c r="N12" s="176" t="s">
        <v>329</v>
      </c>
      <c r="O12" s="36"/>
      <c r="P12" s="104" t="s">
        <v>329</v>
      </c>
      <c r="Q12" s="17"/>
      <c r="R12" s="117" t="s">
        <v>542</v>
      </c>
    </row>
    <row r="13" spans="1:18">
      <c r="A13" s="20"/>
      <c r="B13" s="21"/>
      <c r="C13" s="89" t="s">
        <v>62</v>
      </c>
      <c r="D13" s="177" t="s">
        <v>317</v>
      </c>
      <c r="E13" s="164" t="s">
        <v>317</v>
      </c>
      <c r="F13" s="165" t="s">
        <v>317</v>
      </c>
      <c r="G13" s="166" t="s">
        <v>317</v>
      </c>
      <c r="H13" s="166" t="s">
        <v>317</v>
      </c>
      <c r="I13" s="166" t="s">
        <v>317</v>
      </c>
      <c r="J13" s="166" t="s">
        <v>317</v>
      </c>
      <c r="K13" s="166" t="s">
        <v>317</v>
      </c>
      <c r="L13" s="166" t="s">
        <v>317</v>
      </c>
      <c r="M13" s="166" t="s">
        <v>317</v>
      </c>
      <c r="N13" s="162" t="s">
        <v>317</v>
      </c>
      <c r="O13" s="36"/>
      <c r="P13" s="104" t="s">
        <v>326</v>
      </c>
      <c r="Q13" s="17"/>
      <c r="R13" s="117" t="s">
        <v>543</v>
      </c>
    </row>
    <row r="14" spans="1:18">
      <c r="A14" s="20"/>
      <c r="B14" s="21"/>
      <c r="C14" s="89" t="s">
        <v>26</v>
      </c>
      <c r="D14" s="178" t="s">
        <v>312</v>
      </c>
      <c r="E14" s="169" t="s">
        <v>312</v>
      </c>
      <c r="F14" s="170" t="s">
        <v>312</v>
      </c>
      <c r="G14" s="171" t="s">
        <v>312</v>
      </c>
      <c r="H14" s="171" t="s">
        <v>312</v>
      </c>
      <c r="I14" s="171" t="s">
        <v>312</v>
      </c>
      <c r="J14" s="171" t="s">
        <v>308</v>
      </c>
      <c r="K14" s="171" t="s">
        <v>312</v>
      </c>
      <c r="L14" s="171" t="s">
        <v>312</v>
      </c>
      <c r="M14" s="171" t="s">
        <v>312</v>
      </c>
      <c r="N14" s="167" t="s">
        <v>312</v>
      </c>
      <c r="O14" s="36"/>
      <c r="P14" s="104" t="s">
        <v>312</v>
      </c>
      <c r="Q14" s="17"/>
      <c r="R14" s="117" t="s">
        <v>544</v>
      </c>
    </row>
    <row r="15" spans="1:18">
      <c r="A15" s="20"/>
      <c r="B15" s="21"/>
      <c r="C15" s="89" t="s">
        <v>84</v>
      </c>
      <c r="D15" s="178" t="s">
        <v>331</v>
      </c>
      <c r="E15" s="169" t="s">
        <v>331</v>
      </c>
      <c r="F15" s="170" t="s">
        <v>327</v>
      </c>
      <c r="G15" s="171" t="s">
        <v>331</v>
      </c>
      <c r="H15" s="171" t="s">
        <v>331</v>
      </c>
      <c r="I15" s="171" t="s">
        <v>331</v>
      </c>
      <c r="J15" s="171" t="s">
        <v>331</v>
      </c>
      <c r="K15" s="171" t="s">
        <v>331</v>
      </c>
      <c r="L15" s="171" t="s">
        <v>331</v>
      </c>
      <c r="M15" s="171" t="s">
        <v>331</v>
      </c>
      <c r="N15" s="167" t="s">
        <v>331</v>
      </c>
      <c r="O15" s="36"/>
      <c r="P15" s="104" t="s">
        <v>327</v>
      </c>
      <c r="Q15" s="17"/>
      <c r="R15" s="117" t="s">
        <v>545</v>
      </c>
    </row>
    <row r="16" spans="1:18">
      <c r="A16" s="20"/>
      <c r="B16" s="21"/>
      <c r="C16" s="89" t="s">
        <v>57</v>
      </c>
      <c r="D16" s="178" t="s">
        <v>313</v>
      </c>
      <c r="E16" s="169" t="s">
        <v>313</v>
      </c>
      <c r="F16" s="170" t="s">
        <v>313</v>
      </c>
      <c r="G16" s="171" t="s">
        <v>313</v>
      </c>
      <c r="H16" s="171" t="s">
        <v>550</v>
      </c>
      <c r="I16" s="171" t="s">
        <v>313</v>
      </c>
      <c r="J16" s="171" t="s">
        <v>313</v>
      </c>
      <c r="K16" s="171" t="s">
        <v>313</v>
      </c>
      <c r="L16" s="171" t="s">
        <v>313</v>
      </c>
      <c r="M16" s="171" t="s">
        <v>313</v>
      </c>
      <c r="N16" s="167" t="s">
        <v>313</v>
      </c>
      <c r="O16" s="36"/>
      <c r="P16" s="104" t="s">
        <v>313</v>
      </c>
      <c r="Q16" s="17"/>
      <c r="R16" s="117" t="s">
        <v>546</v>
      </c>
    </row>
    <row r="17" spans="1:18">
      <c r="A17" s="20"/>
      <c r="B17" s="21"/>
      <c r="C17" s="89" t="s">
        <v>272</v>
      </c>
      <c r="D17" s="178" t="s">
        <v>314</v>
      </c>
      <c r="E17" s="169" t="s">
        <v>314</v>
      </c>
      <c r="F17" s="170" t="s">
        <v>314</v>
      </c>
      <c r="G17" s="171" t="s">
        <v>314</v>
      </c>
      <c r="H17" s="171" t="s">
        <v>314</v>
      </c>
      <c r="I17" s="171" t="s">
        <v>314</v>
      </c>
      <c r="J17" s="171" t="s">
        <v>314</v>
      </c>
      <c r="K17" s="171" t="s">
        <v>314</v>
      </c>
      <c r="L17" s="171" t="s">
        <v>314</v>
      </c>
      <c r="M17" s="171" t="s">
        <v>314</v>
      </c>
      <c r="N17" s="167" t="s">
        <v>314</v>
      </c>
      <c r="O17" s="36"/>
      <c r="P17" s="104" t="s">
        <v>314</v>
      </c>
      <c r="Q17" s="17"/>
      <c r="R17" s="117" t="s">
        <v>547</v>
      </c>
    </row>
    <row r="18" spans="1:18">
      <c r="A18" s="20"/>
      <c r="B18" s="21"/>
      <c r="C18" s="89" t="s">
        <v>120</v>
      </c>
      <c r="D18" s="178" t="s">
        <v>330</v>
      </c>
      <c r="E18" s="169" t="s">
        <v>330</v>
      </c>
      <c r="F18" s="170" t="s">
        <v>330</v>
      </c>
      <c r="G18" s="171" t="s">
        <v>330</v>
      </c>
      <c r="H18" s="171" t="s">
        <v>330</v>
      </c>
      <c r="I18" s="171" t="s">
        <v>330</v>
      </c>
      <c r="J18" s="171" t="s">
        <v>330</v>
      </c>
      <c r="K18" s="171" t="s">
        <v>330</v>
      </c>
      <c r="L18" s="171" t="s">
        <v>330</v>
      </c>
      <c r="M18" s="171" t="s">
        <v>330</v>
      </c>
      <c r="N18" s="167" t="s">
        <v>330</v>
      </c>
      <c r="O18" s="36"/>
      <c r="P18" s="104" t="s">
        <v>330</v>
      </c>
      <c r="Q18" s="17"/>
      <c r="R18" s="117" t="s">
        <v>548</v>
      </c>
    </row>
    <row r="19" spans="1:18">
      <c r="A19" s="20"/>
      <c r="B19" s="21"/>
      <c r="C19" s="89" t="s">
        <v>273</v>
      </c>
      <c r="D19" s="178" t="s">
        <v>316</v>
      </c>
      <c r="E19" s="169" t="s">
        <v>316</v>
      </c>
      <c r="F19" s="170" t="s">
        <v>316</v>
      </c>
      <c r="G19" s="171" t="s">
        <v>322</v>
      </c>
      <c r="H19" s="171" t="s">
        <v>316</v>
      </c>
      <c r="I19" s="171" t="s">
        <v>316</v>
      </c>
      <c r="J19" s="171" t="s">
        <v>316</v>
      </c>
      <c r="K19" s="171" t="s">
        <v>316</v>
      </c>
      <c r="L19" s="171" t="s">
        <v>316</v>
      </c>
      <c r="M19" s="171" t="s">
        <v>316</v>
      </c>
      <c r="N19" s="167" t="s">
        <v>316</v>
      </c>
      <c r="O19" s="36"/>
      <c r="P19" s="104" t="s">
        <v>322</v>
      </c>
      <c r="Q19" s="17"/>
      <c r="R19" s="117" t="s">
        <v>549</v>
      </c>
    </row>
    <row r="20" spans="1:18">
      <c r="A20" s="20"/>
      <c r="B20" s="21"/>
      <c r="C20" s="89" t="s">
        <v>274</v>
      </c>
      <c r="D20" s="178" t="s">
        <v>307</v>
      </c>
      <c r="E20" s="169" t="s">
        <v>323</v>
      </c>
      <c r="F20" s="170" t="s">
        <v>307</v>
      </c>
      <c r="G20" s="171" t="s">
        <v>323</v>
      </c>
      <c r="H20" s="171" t="s">
        <v>323</v>
      </c>
      <c r="I20" s="171" t="s">
        <v>323</v>
      </c>
      <c r="J20" s="171" t="s">
        <v>307</v>
      </c>
      <c r="K20" s="171" t="s">
        <v>323</v>
      </c>
      <c r="L20" s="171" t="s">
        <v>307</v>
      </c>
      <c r="M20" s="171" t="s">
        <v>323</v>
      </c>
      <c r="N20" s="167" t="s">
        <v>307</v>
      </c>
      <c r="O20" s="36"/>
      <c r="P20" s="104"/>
      <c r="Q20" s="17"/>
      <c r="R20" s="117" t="s">
        <v>339</v>
      </c>
    </row>
    <row r="21" spans="1:18">
      <c r="A21" s="20"/>
      <c r="B21" s="21"/>
      <c r="C21" s="89"/>
      <c r="D21" s="178"/>
      <c r="E21" s="169"/>
      <c r="F21" s="170"/>
      <c r="G21" s="171"/>
      <c r="H21" s="171"/>
      <c r="I21" s="171"/>
      <c r="J21" s="171"/>
      <c r="K21" s="171"/>
      <c r="L21" s="171"/>
      <c r="M21" s="171"/>
      <c r="N21" s="167"/>
      <c r="O21" s="36"/>
      <c r="P21" s="104"/>
      <c r="Q21" s="17"/>
      <c r="R21" s="117"/>
    </row>
    <row r="22" spans="1:18" ht="16" thickBot="1">
      <c r="A22" s="20"/>
      <c r="B22" s="21"/>
      <c r="C22" s="99"/>
      <c r="D22" s="179"/>
      <c r="E22" s="180"/>
      <c r="F22" s="181"/>
      <c r="G22" s="179"/>
      <c r="H22" s="179"/>
      <c r="I22" s="179"/>
      <c r="J22" s="179"/>
      <c r="K22" s="179"/>
      <c r="L22" s="179"/>
      <c r="M22" s="179"/>
      <c r="N22" s="182"/>
      <c r="O22" s="36"/>
      <c r="P22" s="105"/>
      <c r="Q22" s="17"/>
      <c r="R22" s="118"/>
    </row>
    <row r="23" spans="1:18" ht="16" thickTop="1">
      <c r="A23" s="20"/>
      <c r="B23" s="6"/>
      <c r="C23" s="37"/>
      <c r="D23" s="183"/>
      <c r="E23" s="184"/>
      <c r="F23" s="183"/>
      <c r="G23" s="185"/>
      <c r="H23" s="185"/>
      <c r="I23" s="185"/>
      <c r="J23" s="185"/>
      <c r="K23" s="185"/>
      <c r="L23" s="185"/>
      <c r="M23" s="185"/>
      <c r="N23" s="185"/>
      <c r="O23" s="36"/>
      <c r="P23" s="41" t="s">
        <v>16</v>
      </c>
      <c r="Q23" s="17"/>
      <c r="R23" s="2"/>
    </row>
    <row r="24" spans="1:18">
      <c r="A24" s="20"/>
      <c r="B24" s="6"/>
      <c r="C24" s="42" t="s">
        <v>15</v>
      </c>
      <c r="D24" s="174">
        <v>44</v>
      </c>
      <c r="E24" s="173">
        <v>39</v>
      </c>
      <c r="F24" s="174"/>
      <c r="G24" s="175"/>
      <c r="H24" s="175">
        <v>52</v>
      </c>
      <c r="I24" s="175">
        <v>45</v>
      </c>
      <c r="J24" s="175">
        <v>46</v>
      </c>
      <c r="K24" s="175">
        <v>44</v>
      </c>
      <c r="L24" s="175">
        <v>49</v>
      </c>
      <c r="M24" s="175">
        <v>52</v>
      </c>
      <c r="N24" s="175">
        <v>40</v>
      </c>
      <c r="O24" s="36"/>
      <c r="P24" s="106"/>
      <c r="Q24" s="17"/>
      <c r="R24" s="2"/>
    </row>
    <row r="25" spans="1:18">
      <c r="A25" s="20"/>
      <c r="B25" s="6"/>
      <c r="C25" s="43"/>
      <c r="D25" s="38"/>
      <c r="E25" s="39"/>
      <c r="F25" s="38"/>
      <c r="G25" s="38"/>
      <c r="H25" s="40"/>
      <c r="I25" s="38"/>
      <c r="J25" s="38"/>
      <c r="K25" s="38"/>
      <c r="L25" s="38"/>
      <c r="M25" s="38"/>
      <c r="N25" s="38"/>
      <c r="O25" s="36"/>
      <c r="P25" s="36"/>
      <c r="Q25" s="17"/>
      <c r="R25" s="2"/>
    </row>
    <row r="26" spans="1:18">
      <c r="A26" s="20"/>
      <c r="B26" s="6"/>
      <c r="C26" s="44" t="s">
        <v>13</v>
      </c>
      <c r="D26" s="45" t="str" cm="1">
        <f t="array" ref="D26">SUMPRODUCT(--(D7:D22=$P$7:$P$22), --($P$7:$P$22&lt;&gt;"")) &amp; "-" &amp; SUMPRODUCT(--(D7:D22&lt;&gt;$P$7:$P$22), --($P$7:$P$22&lt;&gt;""))</f>
        <v>7-6</v>
      </c>
      <c r="E26" s="46" t="str" cm="1">
        <f t="array" ref="E26">SUMPRODUCT(--(E7:E22=$P$7:$P$22), --($P$7:$P$22&lt;&gt;"")) &amp; "-" &amp; SUMPRODUCT(--(E7:E22&lt;&gt;$P$7:$P$22), --($P$7:$P$22&lt;&gt;""))</f>
        <v>8-5</v>
      </c>
      <c r="F26" s="45" t="str" cm="1">
        <f t="array" ref="F26">SUMPRODUCT(--(F7:F22=$P$7:$P$22), --($P$7:$P$22&lt;&gt;"")) &amp; "-" &amp; SUMPRODUCT(--(F7:F22&lt;&gt;$P$7:$P$22), --($P$7:$P$22&lt;&gt;""))</f>
        <v>8-5</v>
      </c>
      <c r="G26" s="45" t="str" cm="1">
        <f t="array" ref="G26">SUMPRODUCT(--(G7:G22=$P$7:$P$22), --($P$7:$P$22&lt;&gt;"")) &amp; "-" &amp; SUMPRODUCT(--(G7:G22&lt;&gt;$P$7:$P$22), --($P$7:$P$22&lt;&gt;""))</f>
        <v>8-5</v>
      </c>
      <c r="H26" s="47" t="str" cm="1">
        <f t="array" ref="H26">SUMPRODUCT(--(H7:H22=$P$7:$P$22), --($P$7:$P$22&lt;&gt;"")) &amp; "-" &amp; SUMPRODUCT(--(H7:H22&lt;&gt;$P$7:$P$22), --($P$7:$P$22&lt;&gt;""))</f>
        <v>7-6</v>
      </c>
      <c r="I26" s="45" t="str" cm="1">
        <f t="array" ref="I26">SUMPRODUCT(--(I7:I22=$P$7:$P$22), --($P$7:$P$22&lt;&gt;"")) &amp; "-" &amp; SUMPRODUCT(--(I7:I22&lt;&gt;$P$7:$P$22), --($P$7:$P$22&lt;&gt;""))</f>
        <v>9-4</v>
      </c>
      <c r="J26" s="45" t="str" cm="1">
        <f t="array" ref="J26">SUMPRODUCT(--(J7:J22=$P$7:$P$22), --($P$7:$P$22&lt;&gt;"")) &amp; "-" &amp; SUMPRODUCT(--(J7:J22&lt;&gt;$P$7:$P$22), --($P$7:$P$22&lt;&gt;""))</f>
        <v>7-6</v>
      </c>
      <c r="K26" s="45" t="str" cm="1">
        <f t="array" ref="K26">SUMPRODUCT(--(K7:K22=$P$7:$P$22), --($P$7:$P$22&lt;&gt;"")) &amp; "-" &amp; SUMPRODUCT(--(K7:K22&lt;&gt;$P$7:$P$22), --($P$7:$P$22&lt;&gt;""))</f>
        <v>8-5</v>
      </c>
      <c r="L26" s="45" t="str" cm="1">
        <f t="array" ref="L26">SUMPRODUCT(--(L7:L22=$P$7:$P$22), --($P$7:$P$22&lt;&gt;"")) &amp; "-" &amp; SUMPRODUCT(--(L7:L22&lt;&gt;$P$7:$P$22), --($P$7:$P$22&lt;&gt;""))</f>
        <v>7-6</v>
      </c>
      <c r="M26" s="45" t="str" cm="1">
        <f t="array" ref="M26">SUMPRODUCT(--(M7:M22=$P$7:$P$22), --($P$7:$P$22&lt;&gt;"")) &amp; "-" &amp; SUMPRODUCT(--(M7:M22&lt;&gt;$P$7:$P$22), --($P$7:$P$22&lt;&gt;""))</f>
        <v>8-5</v>
      </c>
      <c r="N26" s="45" t="str" cm="1">
        <f t="array" ref="N26">SUMPRODUCT(--(N7:N22=$P$7:$P$22), --($P$7:$P$22&lt;&gt;"")) &amp; "-" &amp; SUMPRODUCT(--(N7:N22&lt;&gt;$P$7:$P$22), --($P$7:$P$22&lt;&gt;""))</f>
        <v>7-6</v>
      </c>
      <c r="O26" s="36"/>
      <c r="P26" s="36"/>
      <c r="Q26" s="17"/>
      <c r="R26" s="2"/>
    </row>
    <row r="27" spans="1:18">
      <c r="A27" s="20"/>
      <c r="B27" s="6"/>
      <c r="C27" s="7"/>
      <c r="D27" s="11">
        <f>VALUE(LEFT(D26,FIND("-",D26)-1)) - VALUE(MID(D26,FIND("-",D26)+1,LEN(D26)-FIND("-",D26)))</f>
        <v>1</v>
      </c>
      <c r="E27" s="11">
        <f t="shared" ref="E27:N27" si="0">VALUE(LEFT(E26,FIND("-",E26)-1)) - VALUE(MID(E26,FIND("-",E26)+1,LEN(E26)-FIND("-",E26)))</f>
        <v>3</v>
      </c>
      <c r="F27" s="11">
        <f t="shared" si="0"/>
        <v>3</v>
      </c>
      <c r="G27" s="11">
        <f t="shared" si="0"/>
        <v>3</v>
      </c>
      <c r="H27" s="11">
        <f t="shared" si="0"/>
        <v>1</v>
      </c>
      <c r="I27" s="11">
        <f t="shared" si="0"/>
        <v>5</v>
      </c>
      <c r="J27" s="11">
        <f t="shared" si="0"/>
        <v>1</v>
      </c>
      <c r="K27" s="11">
        <f t="shared" si="0"/>
        <v>3</v>
      </c>
      <c r="L27" s="11">
        <f t="shared" si="0"/>
        <v>1</v>
      </c>
      <c r="M27" s="11">
        <f t="shared" si="0"/>
        <v>3</v>
      </c>
      <c r="N27" s="11">
        <f t="shared" si="0"/>
        <v>1</v>
      </c>
      <c r="O27" s="6"/>
      <c r="P27" s="6"/>
      <c r="Q27" s="17"/>
      <c r="R27" s="2"/>
    </row>
    <row r="28" spans="1:18" ht="24" customHeight="1">
      <c r="A28" s="20"/>
      <c r="B28" s="12"/>
      <c r="C28" s="199" t="s">
        <v>17</v>
      </c>
      <c r="D28" s="200"/>
      <c r="E28" s="201" t="str" cm="1">
        <f t="array" ref="E28">IF(P24="", "",
   _xlfn.LET(
      _xlpm.scores, D27:N27,
      _xlpm.names, D5:N5,
      _xlpm.tiebreaks, D24:N24,
      _xlpm.guesses, D26:N26,
      _xlpm.maxScore, MAX(_xlpm.scores),
      _xlpm.topScorers, IF(_xlpm.scores=_xlpm.maxScore, 1, 0),
      _xlpm.tiebreakDiffs, IF(_xlpm.topScorers, ABS(_xlpm.tiebreaks - P24), ""),
      _xlpm.minDiff, MIN(IF(_xlpm.tiebreakDiffs&lt;&gt;"", _xlpm.tiebreakDiffs)),
      _xlpm.winners, IF((_xlpm.scores=_xlpm.maxScore)*(ABS(_xlpm.tiebreaks - P24)=_xlpm.minDiff), _xlpm.names, ""),
      _xlpm.guessMatch, INDEX(_xlpm.guesses, MATCH(1, (_xlpm.scores=_xlpm.maxScore)*(ABS(_xlpm.tiebreaks - P24)=_xlpm.minDiff), 0)),
      _xlpm.winnerList, _xlfn.TEXTJOIN(", ", TRUE, _xlpm.winners),
      IF(COUNTA(_xlfn._xlws.FILTER(_xlpm.winners, _xlpm.winners&lt;&gt;""))=1,
         _xlpm.winnerList &amp; " (" &amp; _xlpm.guessMatch &amp; ")",
         _xlpm.winnerList
      )
   )
)</f>
        <v/>
      </c>
      <c r="F28" s="202"/>
      <c r="G28" s="203"/>
      <c r="H28" s="6"/>
      <c r="I28" s="6"/>
      <c r="J28" s="6"/>
      <c r="K28" s="6"/>
      <c r="L28" s="6"/>
      <c r="M28" s="6"/>
      <c r="N28" s="6"/>
      <c r="O28" s="6"/>
      <c r="P28" s="6"/>
      <c r="Q28" s="17"/>
    </row>
    <row r="29" spans="1:18" ht="15" customHeight="1" thickBot="1">
      <c r="A29" s="20"/>
      <c r="B29" s="22"/>
      <c r="C29" s="32"/>
      <c r="D29" s="32"/>
      <c r="E29" s="33"/>
      <c r="F29" s="33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5"/>
    </row>
    <row r="30" spans="1:18" ht="16" thickTop="1">
      <c r="D30" s="1"/>
    </row>
    <row r="35" spans="9:9" ht="16" thickBot="1"/>
    <row r="36" spans="9:9" ht="16" thickTop="1">
      <c r="I36" s="13"/>
    </row>
  </sheetData>
  <sheetProtection selectLockedCells="1"/>
  <customSheetViews>
    <customSheetView guid="{096EED88-6BAE-D941-AE0E-0C5B75B09829}">
      <selection activeCell="E29" sqref="E29"/>
      <pageMargins left="0.7" right="0.7" top="0.75" bottom="0.75" header="0.3" footer="0.3"/>
      <pageSetup orientation="portrait" r:id="rId1"/>
    </customSheetView>
  </customSheetViews>
  <mergeCells count="17">
    <mergeCell ref="P5:P6"/>
    <mergeCell ref="R5:R6"/>
    <mergeCell ref="C28:D28"/>
    <mergeCell ref="E28:G28"/>
    <mergeCell ref="C3:P3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  <mergeCell ref="N5:N6"/>
  </mergeCells>
  <conditionalFormatting sqref="D26:N26">
    <cfRule type="expression" dxfId="17" priority="1">
      <formula>AND(--LEFT(D26,FIND("-",D26)-1) = MAX(--LEFT($D$26:$N$26,FIND("-",$D$26:$N$26)-1)), COUNTIF($D$26:$N$26, MAX(--LEFT($D$26:$N$26,FIND("-",$D$26:$N$26)-1)) &amp; "-*") &gt; 1)</formula>
    </cfRule>
    <cfRule type="expression" dxfId="16" priority="2">
      <formula>AND(--LEFT(D26,FIND("-",D26)-1) = MAX(--LEFT($D$26:$N$26,FIND("-",$D$26:$N$26)-1)), COUNTIF($D$26:$N$26, MAX(--LEFT($D$26:$N$26,FIND("-",$D$26:$N$26)-1)) &amp; "-*") = 1)</formula>
    </cfRule>
  </conditionalFormatting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5" name="Button 1">
              <controlPr defaultSize="0" print="0" autoFill="0" autoPict="0" macro="[0]!UpdateCurrentSheet">
                <anchor moveWithCells="1" sizeWithCells="1">
                  <from>
                    <xdr:col>17</xdr:col>
                    <xdr:colOff>584200</xdr:colOff>
                    <xdr:row>2</xdr:row>
                    <xdr:rowOff>38100</xdr:rowOff>
                  </from>
                  <to>
                    <xdr:col>17</xdr:col>
                    <xdr:colOff>1231900</xdr:colOff>
                    <xdr:row>2</xdr:row>
                    <xdr:rowOff>355600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2CC84-E13F-49F2-AFD0-E265700FF798}">
  <sheetPr codeName="Sheet13"/>
  <dimension ref="A2:R36"/>
  <sheetViews>
    <sheetView workbookViewId="0">
      <selection activeCell="E29" sqref="E29"/>
    </sheetView>
  </sheetViews>
  <sheetFormatPr baseColWidth="10" defaultColWidth="8.83203125" defaultRowHeight="15"/>
  <cols>
    <col min="2" max="2" width="1.6640625" customWidth="1"/>
    <col min="3" max="3" width="11.6640625" style="1" bestFit="1" customWidth="1"/>
    <col min="4" max="14" width="13.1640625" customWidth="1"/>
    <col min="15" max="15" width="1.6640625" customWidth="1"/>
    <col min="16" max="16" width="15.5" bestFit="1" customWidth="1"/>
    <col min="17" max="17" width="1.6640625" customWidth="1"/>
    <col min="18" max="18" width="24.83203125" customWidth="1"/>
    <col min="19" max="19" width="1.6640625" customWidth="1"/>
  </cols>
  <sheetData>
    <row r="2" spans="1:18" ht="15" customHeight="1" thickBot="1">
      <c r="B2" s="31"/>
      <c r="C2" s="30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</row>
    <row r="3" spans="1:18" ht="32.25" customHeight="1" thickBot="1">
      <c r="B3" s="27"/>
      <c r="C3" s="186" t="s">
        <v>95</v>
      </c>
      <c r="D3" s="186"/>
      <c r="E3" s="186"/>
      <c r="F3" s="186"/>
      <c r="G3" s="186"/>
      <c r="H3" s="186"/>
      <c r="I3" s="186"/>
      <c r="J3" s="186"/>
      <c r="K3" s="186"/>
      <c r="L3" s="186"/>
      <c r="M3" s="186"/>
      <c r="N3" s="186"/>
      <c r="O3" s="186"/>
      <c r="P3" s="186"/>
      <c r="Q3" s="28"/>
    </row>
    <row r="4" spans="1:18" ht="15" customHeight="1" thickBot="1">
      <c r="A4" s="20"/>
      <c r="B4" s="19"/>
      <c r="C4" s="14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6"/>
      <c r="P4" s="6"/>
      <c r="Q4" s="16"/>
      <c r="R4" s="2"/>
    </row>
    <row r="5" spans="1:18" ht="23.25" customHeight="1" thickTop="1">
      <c r="A5" s="20"/>
      <c r="B5" s="6"/>
      <c r="C5" s="187" t="s">
        <v>18</v>
      </c>
      <c r="D5" s="189" t="s">
        <v>14</v>
      </c>
      <c r="E5" s="191" t="s">
        <v>2</v>
      </c>
      <c r="F5" s="193" t="s">
        <v>3</v>
      </c>
      <c r="G5" s="193" t="s">
        <v>4</v>
      </c>
      <c r="H5" s="193" t="s">
        <v>5</v>
      </c>
      <c r="I5" s="189" t="s">
        <v>6</v>
      </c>
      <c r="J5" s="189" t="s">
        <v>7</v>
      </c>
      <c r="K5" s="189" t="s">
        <v>8</v>
      </c>
      <c r="L5" s="191" t="s">
        <v>9</v>
      </c>
      <c r="M5" s="193" t="s">
        <v>10</v>
      </c>
      <c r="N5" s="189" t="s">
        <v>11</v>
      </c>
      <c r="O5" s="6"/>
      <c r="P5" s="195" t="s">
        <v>12</v>
      </c>
      <c r="Q5" s="17"/>
      <c r="R5" s="204" t="s">
        <v>389</v>
      </c>
    </row>
    <row r="6" spans="1:18" ht="8" customHeight="1" thickBot="1">
      <c r="A6" s="20"/>
      <c r="B6" s="6"/>
      <c r="C6" s="188"/>
      <c r="D6" s="190"/>
      <c r="E6" s="192"/>
      <c r="F6" s="194"/>
      <c r="G6" s="194"/>
      <c r="H6" s="194"/>
      <c r="I6" s="190"/>
      <c r="J6" s="190"/>
      <c r="K6" s="190"/>
      <c r="L6" s="192"/>
      <c r="M6" s="194"/>
      <c r="N6" s="190"/>
      <c r="O6" s="6"/>
      <c r="P6" s="196"/>
      <c r="Q6" s="17"/>
      <c r="R6" s="205"/>
    </row>
    <row r="7" spans="1:18" ht="16" thickTop="1">
      <c r="A7" s="20"/>
      <c r="B7" s="21"/>
      <c r="C7" s="81" t="s">
        <v>53</v>
      </c>
      <c r="D7" s="51" t="s">
        <v>317</v>
      </c>
      <c r="E7" s="52" t="s">
        <v>317</v>
      </c>
      <c r="F7" s="53" t="s">
        <v>317</v>
      </c>
      <c r="G7" s="82" t="s">
        <v>317</v>
      </c>
      <c r="H7" s="83" t="s">
        <v>317</v>
      </c>
      <c r="I7" s="82" t="s">
        <v>317</v>
      </c>
      <c r="J7" s="82" t="s">
        <v>317</v>
      </c>
      <c r="K7" s="82" t="s">
        <v>317</v>
      </c>
      <c r="L7" s="82" t="s">
        <v>317</v>
      </c>
      <c r="M7" s="82" t="s">
        <v>317</v>
      </c>
      <c r="N7" s="84" t="s">
        <v>317</v>
      </c>
      <c r="O7" s="36"/>
      <c r="P7" s="56" t="s">
        <v>324</v>
      </c>
      <c r="Q7" s="17"/>
      <c r="R7" s="117" t="s">
        <v>551</v>
      </c>
    </row>
    <row r="8" spans="1:18">
      <c r="A8" s="20"/>
      <c r="B8" s="21"/>
      <c r="C8" s="85" t="s">
        <v>275</v>
      </c>
      <c r="D8" s="57" t="s">
        <v>315</v>
      </c>
      <c r="E8" s="58" t="s">
        <v>315</v>
      </c>
      <c r="F8" s="59" t="s">
        <v>315</v>
      </c>
      <c r="G8" s="86" t="s">
        <v>315</v>
      </c>
      <c r="H8" s="87" t="s">
        <v>315</v>
      </c>
      <c r="I8" s="86" t="s">
        <v>315</v>
      </c>
      <c r="J8" s="86" t="s">
        <v>315</v>
      </c>
      <c r="K8" s="86" t="s">
        <v>315</v>
      </c>
      <c r="L8" s="86" t="s">
        <v>315</v>
      </c>
      <c r="M8" s="86" t="s">
        <v>315</v>
      </c>
      <c r="N8" s="88" t="s">
        <v>315</v>
      </c>
      <c r="O8" s="36"/>
      <c r="P8" s="62" t="s">
        <v>315</v>
      </c>
      <c r="Q8" s="17"/>
      <c r="R8" s="117" t="s">
        <v>554</v>
      </c>
    </row>
    <row r="9" spans="1:18">
      <c r="A9" s="20"/>
      <c r="B9" s="21"/>
      <c r="C9" s="89" t="s">
        <v>24</v>
      </c>
      <c r="D9" s="90" t="s">
        <v>318</v>
      </c>
      <c r="E9" s="91" t="s">
        <v>318</v>
      </c>
      <c r="F9" s="92" t="s">
        <v>331</v>
      </c>
      <c r="G9" s="92" t="s">
        <v>318</v>
      </c>
      <c r="H9" s="93" t="s">
        <v>318</v>
      </c>
      <c r="I9" s="92" t="s">
        <v>318</v>
      </c>
      <c r="J9" s="92" t="s">
        <v>318</v>
      </c>
      <c r="K9" s="92" t="s">
        <v>331</v>
      </c>
      <c r="L9" s="92" t="s">
        <v>331</v>
      </c>
      <c r="M9" s="92" t="s">
        <v>331</v>
      </c>
      <c r="N9" s="88" t="s">
        <v>331</v>
      </c>
      <c r="O9" s="36"/>
      <c r="P9" s="104" t="s">
        <v>331</v>
      </c>
      <c r="Q9" s="17"/>
      <c r="R9" s="117" t="s">
        <v>552</v>
      </c>
    </row>
    <row r="10" spans="1:18">
      <c r="A10" s="20"/>
      <c r="B10" s="21"/>
      <c r="C10" s="89" t="s">
        <v>51</v>
      </c>
      <c r="D10" s="90" t="s">
        <v>316</v>
      </c>
      <c r="E10" s="91" t="s">
        <v>323</v>
      </c>
      <c r="F10" s="92" t="s">
        <v>323</v>
      </c>
      <c r="G10" s="92" t="s">
        <v>323</v>
      </c>
      <c r="H10" s="93" t="s">
        <v>323</v>
      </c>
      <c r="I10" s="92" t="s">
        <v>316</v>
      </c>
      <c r="J10" s="92" t="s">
        <v>316</v>
      </c>
      <c r="K10" s="92" t="s">
        <v>323</v>
      </c>
      <c r="L10" s="92" t="s">
        <v>316</v>
      </c>
      <c r="M10" s="92" t="s">
        <v>316</v>
      </c>
      <c r="N10" s="88" t="s">
        <v>316</v>
      </c>
      <c r="O10" s="36"/>
      <c r="P10" s="104" t="s">
        <v>323</v>
      </c>
      <c r="Q10" s="17"/>
      <c r="R10" s="117" t="s">
        <v>555</v>
      </c>
    </row>
    <row r="11" spans="1:18">
      <c r="A11" s="20"/>
      <c r="B11" s="21"/>
      <c r="C11" s="89" t="s">
        <v>114</v>
      </c>
      <c r="D11" s="90" t="s">
        <v>309</v>
      </c>
      <c r="E11" s="91" t="s">
        <v>309</v>
      </c>
      <c r="F11" s="92" t="s">
        <v>309</v>
      </c>
      <c r="G11" s="92" t="s">
        <v>309</v>
      </c>
      <c r="H11" s="93" t="s">
        <v>309</v>
      </c>
      <c r="I11" s="92" t="s">
        <v>309</v>
      </c>
      <c r="J11" s="92" t="s">
        <v>309</v>
      </c>
      <c r="K11" s="92" t="s">
        <v>309</v>
      </c>
      <c r="L11" s="92" t="s">
        <v>314</v>
      </c>
      <c r="M11" s="92" t="s">
        <v>309</v>
      </c>
      <c r="N11" s="88" t="s">
        <v>309</v>
      </c>
      <c r="O11" s="36"/>
      <c r="P11" s="104" t="s">
        <v>314</v>
      </c>
      <c r="Q11" s="17"/>
      <c r="R11" s="117" t="s">
        <v>556</v>
      </c>
    </row>
    <row r="12" spans="1:18">
      <c r="A12" s="20"/>
      <c r="B12" s="21"/>
      <c r="C12" s="94" t="s">
        <v>140</v>
      </c>
      <c r="D12" s="95" t="s">
        <v>335</v>
      </c>
      <c r="E12" s="96" t="s">
        <v>311</v>
      </c>
      <c r="F12" s="82" t="s">
        <v>311</v>
      </c>
      <c r="G12" s="82" t="s">
        <v>311</v>
      </c>
      <c r="H12" s="83" t="s">
        <v>335</v>
      </c>
      <c r="I12" s="82" t="s">
        <v>311</v>
      </c>
      <c r="J12" s="82" t="s">
        <v>335</v>
      </c>
      <c r="K12" s="82" t="s">
        <v>311</v>
      </c>
      <c r="L12" s="82" t="s">
        <v>311</v>
      </c>
      <c r="M12" s="82" t="s">
        <v>335</v>
      </c>
      <c r="N12" s="84" t="s">
        <v>335</v>
      </c>
      <c r="O12" s="36"/>
      <c r="P12" s="104" t="s">
        <v>311</v>
      </c>
      <c r="Q12" s="17"/>
      <c r="R12" s="117" t="s">
        <v>557</v>
      </c>
    </row>
    <row r="13" spans="1:18">
      <c r="A13" s="20"/>
      <c r="B13" s="21"/>
      <c r="C13" s="89" t="s">
        <v>276</v>
      </c>
      <c r="D13" s="97" t="s">
        <v>307</v>
      </c>
      <c r="E13" s="98" t="s">
        <v>307</v>
      </c>
      <c r="F13" s="92" t="s">
        <v>307</v>
      </c>
      <c r="G13" s="92" t="s">
        <v>307</v>
      </c>
      <c r="H13" s="93" t="s">
        <v>307</v>
      </c>
      <c r="I13" s="92" t="s">
        <v>307</v>
      </c>
      <c r="J13" s="92" t="s">
        <v>307</v>
      </c>
      <c r="K13" s="92" t="s">
        <v>307</v>
      </c>
      <c r="L13" s="92" t="s">
        <v>307</v>
      </c>
      <c r="M13" s="92" t="s">
        <v>307</v>
      </c>
      <c r="N13" s="88" t="s">
        <v>307</v>
      </c>
      <c r="O13" s="36"/>
      <c r="P13" s="104" t="s">
        <v>307</v>
      </c>
      <c r="Q13" s="17"/>
      <c r="R13" s="117" t="s">
        <v>553</v>
      </c>
    </row>
    <row r="14" spans="1:18">
      <c r="A14" s="20"/>
      <c r="B14" s="21"/>
      <c r="C14" s="89" t="s">
        <v>277</v>
      </c>
      <c r="D14" s="97" t="s">
        <v>312</v>
      </c>
      <c r="E14" s="98" t="s">
        <v>312</v>
      </c>
      <c r="F14" s="92" t="s">
        <v>312</v>
      </c>
      <c r="G14" s="92" t="s">
        <v>312</v>
      </c>
      <c r="H14" s="93" t="s">
        <v>312</v>
      </c>
      <c r="I14" s="92" t="s">
        <v>312</v>
      </c>
      <c r="J14" s="92" t="s">
        <v>312</v>
      </c>
      <c r="K14" s="92" t="s">
        <v>312</v>
      </c>
      <c r="L14" s="92" t="s">
        <v>312</v>
      </c>
      <c r="M14" s="92" t="s">
        <v>312</v>
      </c>
      <c r="N14" s="88" t="s">
        <v>312</v>
      </c>
      <c r="O14" s="36"/>
      <c r="P14" s="104" t="s">
        <v>312</v>
      </c>
      <c r="Q14" s="17"/>
      <c r="R14" s="117" t="s">
        <v>558</v>
      </c>
    </row>
    <row r="15" spans="1:18">
      <c r="A15" s="20"/>
      <c r="B15" s="21"/>
      <c r="C15" s="89" t="s">
        <v>278</v>
      </c>
      <c r="D15" s="97" t="s">
        <v>322</v>
      </c>
      <c r="E15" s="98" t="s">
        <v>322</v>
      </c>
      <c r="F15" s="92" t="s">
        <v>322</v>
      </c>
      <c r="G15" s="92" t="s">
        <v>322</v>
      </c>
      <c r="H15" s="93" t="s">
        <v>319</v>
      </c>
      <c r="I15" s="92" t="s">
        <v>322</v>
      </c>
      <c r="J15" s="92" t="s">
        <v>322</v>
      </c>
      <c r="K15" s="92" t="s">
        <v>322</v>
      </c>
      <c r="L15" s="92" t="s">
        <v>322</v>
      </c>
      <c r="M15" s="92" t="s">
        <v>319</v>
      </c>
      <c r="N15" s="88" t="s">
        <v>322</v>
      </c>
      <c r="O15" s="36"/>
      <c r="P15" s="104" t="s">
        <v>322</v>
      </c>
      <c r="Q15" s="17"/>
      <c r="R15" s="117" t="s">
        <v>559</v>
      </c>
    </row>
    <row r="16" spans="1:18">
      <c r="A16" s="20"/>
      <c r="B16" s="21"/>
      <c r="C16" s="89" t="s">
        <v>279</v>
      </c>
      <c r="D16" s="97" t="s">
        <v>313</v>
      </c>
      <c r="E16" s="98" t="s">
        <v>333</v>
      </c>
      <c r="F16" s="92" t="s">
        <v>313</v>
      </c>
      <c r="G16" s="92" t="s">
        <v>313</v>
      </c>
      <c r="H16" s="93" t="s">
        <v>313</v>
      </c>
      <c r="I16" s="92" t="s">
        <v>313</v>
      </c>
      <c r="J16" s="92" t="s">
        <v>313</v>
      </c>
      <c r="K16" s="92" t="s">
        <v>313</v>
      </c>
      <c r="L16" s="92" t="s">
        <v>313</v>
      </c>
      <c r="M16" s="92" t="s">
        <v>313</v>
      </c>
      <c r="N16" s="88" t="s">
        <v>333</v>
      </c>
      <c r="O16" s="36"/>
      <c r="P16" s="104" t="s">
        <v>313</v>
      </c>
      <c r="Q16" s="17"/>
      <c r="R16" s="117" t="s">
        <v>560</v>
      </c>
    </row>
    <row r="17" spans="1:18">
      <c r="A17" s="20"/>
      <c r="B17" s="21"/>
      <c r="C17" s="89" t="s">
        <v>280</v>
      </c>
      <c r="D17" s="97" t="s">
        <v>330</v>
      </c>
      <c r="E17" s="98" t="s">
        <v>321</v>
      </c>
      <c r="F17" s="92" t="s">
        <v>330</v>
      </c>
      <c r="G17" s="92" t="s">
        <v>330</v>
      </c>
      <c r="H17" s="93" t="s">
        <v>330</v>
      </c>
      <c r="I17" s="92" t="s">
        <v>321</v>
      </c>
      <c r="J17" s="92" t="s">
        <v>330</v>
      </c>
      <c r="K17" s="92" t="s">
        <v>330</v>
      </c>
      <c r="L17" s="92" t="s">
        <v>330</v>
      </c>
      <c r="M17" s="92" t="s">
        <v>321</v>
      </c>
      <c r="N17" s="88" t="s">
        <v>330</v>
      </c>
      <c r="O17" s="36"/>
      <c r="P17" s="104" t="s">
        <v>330</v>
      </c>
      <c r="Q17" s="17"/>
      <c r="R17" s="117" t="s">
        <v>561</v>
      </c>
    </row>
    <row r="18" spans="1:18">
      <c r="A18" s="20"/>
      <c r="B18" s="21"/>
      <c r="C18" s="89" t="s">
        <v>76</v>
      </c>
      <c r="D18" s="97" t="s">
        <v>326</v>
      </c>
      <c r="E18" s="98" t="s">
        <v>326</v>
      </c>
      <c r="F18" s="92" t="s">
        <v>338</v>
      </c>
      <c r="G18" s="92" t="s">
        <v>338</v>
      </c>
      <c r="H18" s="93" t="s">
        <v>338</v>
      </c>
      <c r="I18" s="92" t="s">
        <v>338</v>
      </c>
      <c r="J18" s="92" t="s">
        <v>326</v>
      </c>
      <c r="K18" s="92" t="s">
        <v>338</v>
      </c>
      <c r="L18" s="92" t="s">
        <v>338</v>
      </c>
      <c r="M18" s="92" t="s">
        <v>338</v>
      </c>
      <c r="N18" s="88" t="s">
        <v>338</v>
      </c>
      <c r="O18" s="36"/>
      <c r="P18" s="104" t="s">
        <v>326</v>
      </c>
      <c r="Q18" s="17"/>
      <c r="R18" s="117" t="s">
        <v>562</v>
      </c>
    </row>
    <row r="19" spans="1:18">
      <c r="A19" s="20"/>
      <c r="B19" s="21"/>
      <c r="C19" s="89" t="s">
        <v>281</v>
      </c>
      <c r="D19" s="97" t="s">
        <v>320</v>
      </c>
      <c r="E19" s="98" t="s">
        <v>320</v>
      </c>
      <c r="F19" s="92" t="s">
        <v>320</v>
      </c>
      <c r="G19" s="92" t="s">
        <v>320</v>
      </c>
      <c r="H19" s="93" t="s">
        <v>320</v>
      </c>
      <c r="I19" s="92" t="s">
        <v>320</v>
      </c>
      <c r="J19" s="92" t="s">
        <v>320</v>
      </c>
      <c r="K19" s="92" t="s">
        <v>320</v>
      </c>
      <c r="L19" s="92" t="s">
        <v>320</v>
      </c>
      <c r="M19" s="92" t="s">
        <v>320</v>
      </c>
      <c r="N19" s="88" t="s">
        <v>320</v>
      </c>
      <c r="O19" s="36"/>
      <c r="P19" s="104" t="s">
        <v>320</v>
      </c>
      <c r="Q19" s="17"/>
      <c r="R19" s="117" t="s">
        <v>563</v>
      </c>
    </row>
    <row r="20" spans="1:18">
      <c r="A20" s="20"/>
      <c r="B20" s="21"/>
      <c r="C20" s="89" t="s">
        <v>282</v>
      </c>
      <c r="D20" s="97" t="s">
        <v>328</v>
      </c>
      <c r="E20" s="98" t="s">
        <v>328</v>
      </c>
      <c r="F20" s="92" t="s">
        <v>328</v>
      </c>
      <c r="G20" s="92" t="s">
        <v>328</v>
      </c>
      <c r="H20" s="93" t="s">
        <v>328</v>
      </c>
      <c r="I20" s="92" t="s">
        <v>328</v>
      </c>
      <c r="J20" s="92" t="s">
        <v>328</v>
      </c>
      <c r="K20" s="92" t="s">
        <v>328</v>
      </c>
      <c r="L20" s="92" t="s">
        <v>328</v>
      </c>
      <c r="M20" s="92" t="s">
        <v>328</v>
      </c>
      <c r="N20" s="88" t="s">
        <v>328</v>
      </c>
      <c r="O20" s="36"/>
      <c r="P20" s="104" t="s">
        <v>328</v>
      </c>
      <c r="Q20" s="17"/>
      <c r="R20" s="117" t="s">
        <v>564</v>
      </c>
    </row>
    <row r="21" spans="1:18">
      <c r="A21" s="20"/>
      <c r="B21" s="21"/>
      <c r="C21" s="89" t="s">
        <v>283</v>
      </c>
      <c r="D21" s="97" t="s">
        <v>336</v>
      </c>
      <c r="E21" s="98" t="s">
        <v>336</v>
      </c>
      <c r="F21" s="92" t="s">
        <v>336</v>
      </c>
      <c r="G21" s="92" t="s">
        <v>336</v>
      </c>
      <c r="H21" s="93" t="s">
        <v>332</v>
      </c>
      <c r="I21" s="92" t="s">
        <v>336</v>
      </c>
      <c r="J21" s="92" t="s">
        <v>336</v>
      </c>
      <c r="K21" s="92" t="s">
        <v>332</v>
      </c>
      <c r="L21" s="92" t="s">
        <v>336</v>
      </c>
      <c r="M21" s="92" t="s">
        <v>336</v>
      </c>
      <c r="N21" s="88" t="s">
        <v>336</v>
      </c>
      <c r="O21" s="36"/>
      <c r="P21" s="104" t="s">
        <v>332</v>
      </c>
      <c r="Q21" s="17"/>
      <c r="R21" s="117" t="s">
        <v>565</v>
      </c>
    </row>
    <row r="22" spans="1:18" ht="16" thickBot="1">
      <c r="A22" s="20"/>
      <c r="B22" s="21"/>
      <c r="C22" s="99" t="s">
        <v>284</v>
      </c>
      <c r="D22" s="100" t="s">
        <v>327</v>
      </c>
      <c r="E22" s="101" t="s">
        <v>327</v>
      </c>
      <c r="F22" s="102" t="s">
        <v>327</v>
      </c>
      <c r="G22" s="102" t="s">
        <v>327</v>
      </c>
      <c r="H22" s="100" t="s">
        <v>327</v>
      </c>
      <c r="I22" s="102" t="s">
        <v>327</v>
      </c>
      <c r="J22" s="102" t="s">
        <v>327</v>
      </c>
      <c r="K22" s="102" t="s">
        <v>327</v>
      </c>
      <c r="L22" s="102" t="s">
        <v>329</v>
      </c>
      <c r="M22" s="102" t="s">
        <v>329</v>
      </c>
      <c r="N22" s="103" t="s">
        <v>327</v>
      </c>
      <c r="O22" s="36"/>
      <c r="P22" s="105" t="s">
        <v>327</v>
      </c>
      <c r="Q22" s="17"/>
      <c r="R22" s="118" t="s">
        <v>566</v>
      </c>
    </row>
    <row r="23" spans="1:18" ht="16" thickTop="1">
      <c r="A23" s="20"/>
      <c r="B23" s="6"/>
      <c r="C23" s="37"/>
      <c r="D23" s="38"/>
      <c r="E23" s="39"/>
      <c r="F23" s="38"/>
      <c r="G23" s="38"/>
      <c r="H23" s="40"/>
      <c r="I23" s="38"/>
      <c r="J23" s="38"/>
      <c r="K23" s="38"/>
      <c r="L23" s="38"/>
      <c r="M23" s="38"/>
      <c r="N23" s="38"/>
      <c r="O23" s="36"/>
      <c r="P23" s="41" t="s">
        <v>16</v>
      </c>
      <c r="Q23" s="17"/>
      <c r="R23" s="2"/>
    </row>
    <row r="24" spans="1:18">
      <c r="A24" s="20"/>
      <c r="B24" s="6"/>
      <c r="C24" s="42" t="s">
        <v>15</v>
      </c>
      <c r="D24" s="82">
        <v>44</v>
      </c>
      <c r="E24" s="107">
        <v>32</v>
      </c>
      <c r="F24" s="82">
        <v>46</v>
      </c>
      <c r="G24" s="82">
        <v>49</v>
      </c>
      <c r="H24" s="83">
        <v>54</v>
      </c>
      <c r="I24" s="82">
        <v>45</v>
      </c>
      <c r="J24" s="82">
        <v>36</v>
      </c>
      <c r="K24" s="82">
        <v>44</v>
      </c>
      <c r="L24" s="82">
        <v>45</v>
      </c>
      <c r="M24" s="82">
        <v>46</v>
      </c>
      <c r="N24" s="82">
        <v>37</v>
      </c>
      <c r="O24" s="36"/>
      <c r="P24" s="106">
        <v>43</v>
      </c>
      <c r="Q24" s="17"/>
      <c r="R24" s="2"/>
    </row>
    <row r="25" spans="1:18">
      <c r="A25" s="20"/>
      <c r="B25" s="6"/>
      <c r="C25" s="43"/>
      <c r="D25" s="38"/>
      <c r="E25" s="39"/>
      <c r="F25" s="38"/>
      <c r="G25" s="38"/>
      <c r="H25" s="40"/>
      <c r="I25" s="38"/>
      <c r="J25" s="38"/>
      <c r="K25" s="38"/>
      <c r="L25" s="38"/>
      <c r="M25" s="38"/>
      <c r="N25" s="38"/>
      <c r="O25" s="36"/>
      <c r="P25" s="36"/>
      <c r="Q25" s="17"/>
      <c r="R25" s="2"/>
    </row>
    <row r="26" spans="1:18">
      <c r="A26" s="20"/>
      <c r="B26" s="6"/>
      <c r="C26" s="44" t="s">
        <v>13</v>
      </c>
      <c r="D26" s="45" t="str" cm="1">
        <f t="array" ref="D26">SUMPRODUCT(--(D7:D22=$P$7:$P$22), --($P$7:$P$22&lt;&gt;"")) &amp; "-" &amp; SUMPRODUCT(--(D7:D22&lt;&gt;$P$7:$P$22), --($P$7:$P$22&lt;&gt;""))</f>
        <v>10-6</v>
      </c>
      <c r="E26" s="46" t="str" cm="1">
        <f t="array" ref="E26">SUMPRODUCT(--(E7:E22=$P$7:$P$22), --($P$7:$P$22&lt;&gt;"")) &amp; "-" &amp; SUMPRODUCT(--(E7:E22&lt;&gt;$P$7:$P$22), --($P$7:$P$22&lt;&gt;""))</f>
        <v>10-6</v>
      </c>
      <c r="F26" s="45" t="str" cm="1">
        <f t="array" ref="F26">SUMPRODUCT(--(F7:F22=$P$7:$P$22), --($P$7:$P$22&lt;&gt;"")) &amp; "-" &amp; SUMPRODUCT(--(F7:F22&lt;&gt;$P$7:$P$22), --($P$7:$P$22&lt;&gt;""))</f>
        <v>12-4</v>
      </c>
      <c r="G26" s="45" t="str" cm="1">
        <f t="array" ref="G26">SUMPRODUCT(--(G7:G22=$P$7:$P$22), --($P$7:$P$22&lt;&gt;"")) &amp; "-" &amp; SUMPRODUCT(--(G7:G22&lt;&gt;$P$7:$P$22), --($P$7:$P$22&lt;&gt;""))</f>
        <v>11-5</v>
      </c>
      <c r="H26" s="47" t="str" cm="1">
        <f t="array" ref="H26">SUMPRODUCT(--(H7:H22=$P$7:$P$22), --($P$7:$P$22&lt;&gt;"")) &amp; "-" &amp; SUMPRODUCT(--(H7:H22&lt;&gt;$P$7:$P$22), --($P$7:$P$22&lt;&gt;""))</f>
        <v>10-6</v>
      </c>
      <c r="I26" s="45" t="str" cm="1">
        <f t="array" ref="I26">SUMPRODUCT(--(I7:I22=$P$7:$P$22), --($P$7:$P$22&lt;&gt;"")) &amp; "-" &amp; SUMPRODUCT(--(I7:I22&lt;&gt;$P$7:$P$22), --($P$7:$P$22&lt;&gt;""))</f>
        <v>9-7</v>
      </c>
      <c r="J26" s="45" t="str" cm="1">
        <f t="array" ref="J26">SUMPRODUCT(--(J7:J22=$P$7:$P$22), --($P$7:$P$22&lt;&gt;"")) &amp; "-" &amp; SUMPRODUCT(--(J7:J22&lt;&gt;$P$7:$P$22), --($P$7:$P$22&lt;&gt;""))</f>
        <v>10-6</v>
      </c>
      <c r="K26" s="45" t="str" cm="1">
        <f t="array" ref="K26">SUMPRODUCT(--(K7:K22=$P$7:$P$22), --($P$7:$P$22&lt;&gt;"")) &amp; "-" &amp; SUMPRODUCT(--(K7:K22&lt;&gt;$P$7:$P$22), --($P$7:$P$22&lt;&gt;""))</f>
        <v>13-3</v>
      </c>
      <c r="L26" s="45" t="str" cm="1">
        <f t="array" ref="L26">SUMPRODUCT(--(L7:L22=$P$7:$P$22), --($P$7:$P$22&lt;&gt;"")) &amp; "-" &amp; SUMPRODUCT(--(L7:L22&lt;&gt;$P$7:$P$22), --($P$7:$P$22&lt;&gt;""))</f>
        <v>11-5</v>
      </c>
      <c r="M26" s="45" t="str" cm="1">
        <f t="array" ref="M26">SUMPRODUCT(--(M7:M22=$P$7:$P$22), --($P$7:$P$22&lt;&gt;"")) &amp; "-" &amp; SUMPRODUCT(--(M7:M22&lt;&gt;$P$7:$P$22), --($P$7:$P$22&lt;&gt;""))</f>
        <v>7-9</v>
      </c>
      <c r="N26" s="45" t="str" cm="1">
        <f t="array" ref="N26">SUMPRODUCT(--(N7:N22=$P$7:$P$22), --($P$7:$P$22&lt;&gt;"")) &amp; "-" &amp; SUMPRODUCT(--(N7:N22&lt;&gt;$P$7:$P$22), --($P$7:$P$22&lt;&gt;""))</f>
        <v>9-7</v>
      </c>
      <c r="O26" s="36"/>
      <c r="P26" s="36"/>
      <c r="Q26" s="17"/>
      <c r="R26" s="2"/>
    </row>
    <row r="27" spans="1:18">
      <c r="A27" s="20"/>
      <c r="B27" s="6"/>
      <c r="C27" s="7"/>
      <c r="D27" s="11">
        <f>VALUE(LEFT(D26,FIND("-",D26)-1)) - VALUE(MID(D26,FIND("-",D26)+1,LEN(D26)-FIND("-",D26)))</f>
        <v>4</v>
      </c>
      <c r="E27" s="11">
        <f t="shared" ref="E27:N27" si="0">VALUE(LEFT(E26,FIND("-",E26)-1)) - VALUE(MID(E26,FIND("-",E26)+1,LEN(E26)-FIND("-",E26)))</f>
        <v>4</v>
      </c>
      <c r="F27" s="11">
        <f t="shared" si="0"/>
        <v>8</v>
      </c>
      <c r="G27" s="11">
        <f t="shared" si="0"/>
        <v>6</v>
      </c>
      <c r="H27" s="11">
        <f t="shared" si="0"/>
        <v>4</v>
      </c>
      <c r="I27" s="11">
        <f t="shared" si="0"/>
        <v>2</v>
      </c>
      <c r="J27" s="11">
        <f t="shared" si="0"/>
        <v>4</v>
      </c>
      <c r="K27" s="11">
        <f t="shared" si="0"/>
        <v>10</v>
      </c>
      <c r="L27" s="11">
        <f t="shared" si="0"/>
        <v>6</v>
      </c>
      <c r="M27" s="11">
        <f t="shared" si="0"/>
        <v>-2</v>
      </c>
      <c r="N27" s="11">
        <f t="shared" si="0"/>
        <v>2</v>
      </c>
      <c r="O27" s="6"/>
      <c r="P27" s="6"/>
      <c r="Q27" s="17"/>
      <c r="R27" s="2"/>
    </row>
    <row r="28" spans="1:18" ht="24" customHeight="1">
      <c r="A28" s="20"/>
      <c r="B28" s="12"/>
      <c r="C28" s="199" t="s">
        <v>17</v>
      </c>
      <c r="D28" s="200"/>
      <c r="E28" s="201" t="str" cm="1">
        <f t="array" ref="E28">IF(P24="", "",
   _xlfn.LET(
      _xlpm.scores, D27:N27,
      _xlpm.names, D5:N5,
      _xlpm.tiebreaks, D24:N24,
      _xlpm.guesses, D26:N26,
      _xlpm.maxScore, MAX(_xlpm.scores),
      _xlpm.topScorers, IF(_xlpm.scores=_xlpm.maxScore, 1, 0),
      _xlpm.tiebreakDiffs, IF(_xlpm.topScorers, ABS(_xlpm.tiebreaks - P24), ""),
      _xlpm.minDiff, MIN(IF(_xlpm.tiebreakDiffs&lt;&gt;"", _xlpm.tiebreakDiffs)),
      _xlpm.winners, IF((_xlpm.scores=_xlpm.maxScore)*(ABS(_xlpm.tiebreaks - P24)=_xlpm.minDiff), _xlpm.names, ""),
      _xlpm.guessMatch, INDEX(_xlpm.guesses, MATCH(1, (_xlpm.scores=_xlpm.maxScore)*(ABS(_xlpm.tiebreaks - P24)=_xlpm.minDiff), 0)),
      _xlpm.winnerList, _xlfn.TEXTJOIN(", ", TRUE, _xlpm.winners),
      IF(COUNTA(_xlfn._xlws.FILTER(_xlpm.winners, _xlpm.winners&lt;&gt;""))=1,
         _xlpm.winnerList &amp; " (" &amp; _xlpm.guessMatch &amp; ")",
         _xlpm.winnerList
      )
   )
)</f>
        <v>Kevin (13-3)</v>
      </c>
      <c r="F28" s="202"/>
      <c r="G28" s="203"/>
      <c r="H28" s="6"/>
      <c r="I28" s="6"/>
      <c r="J28" s="6"/>
      <c r="K28" s="6"/>
      <c r="L28" s="6"/>
      <c r="M28" s="6"/>
      <c r="N28" s="6"/>
      <c r="O28" s="6"/>
      <c r="P28" s="6"/>
      <c r="Q28" s="17"/>
    </row>
    <row r="29" spans="1:18" ht="15" customHeight="1" thickBot="1">
      <c r="A29" s="20"/>
      <c r="B29" s="22"/>
      <c r="C29" s="32"/>
      <c r="D29" s="32"/>
      <c r="E29" s="33"/>
      <c r="F29" s="33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5"/>
    </row>
    <row r="30" spans="1:18" ht="16" thickTop="1">
      <c r="D30" s="1"/>
    </row>
    <row r="35" spans="9:9" ht="16" thickBot="1"/>
    <row r="36" spans="9:9" ht="16" thickTop="1">
      <c r="I36" s="13"/>
    </row>
  </sheetData>
  <sheetProtection selectLockedCells="1"/>
  <customSheetViews>
    <customSheetView guid="{096EED88-6BAE-D941-AE0E-0C5B75B09829}">
      <selection activeCell="E29" sqref="E29"/>
      <pageMargins left="0.7" right="0.7" top="0.75" bottom="0.75" header="0.3" footer="0.3"/>
      <pageSetup orientation="portrait" r:id="rId1"/>
    </customSheetView>
  </customSheetViews>
  <mergeCells count="17">
    <mergeCell ref="R5:R6"/>
    <mergeCell ref="C28:D28"/>
    <mergeCell ref="E28:G28"/>
    <mergeCell ref="C3:P3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  <mergeCell ref="N5:N6"/>
    <mergeCell ref="P5:P6"/>
  </mergeCells>
  <conditionalFormatting sqref="D7:N22">
    <cfRule type="expression" dxfId="15" priority="3">
      <formula>AND($P7=D7, $P7&lt;&gt;"")</formula>
    </cfRule>
    <cfRule type="expression" dxfId="14" priority="4">
      <formula>AND($P7&lt;&gt;D7, $P7&lt;&gt;"")</formula>
    </cfRule>
  </conditionalFormatting>
  <conditionalFormatting sqref="D26:N26">
    <cfRule type="expression" dxfId="13" priority="1">
      <formula>AND(--LEFT(D26,FIND("-",D26)-1) = MAX(--LEFT($D$26:$N$26,FIND("-",$D$26:$N$26)-1)), COUNTIF($D$26:$N$26, MAX(--LEFT($D$26:$N$26,FIND("-",$D$26:$N$26)-1)) &amp; "-*") &gt; 1)</formula>
    </cfRule>
    <cfRule type="expression" dxfId="12" priority="2">
      <formula>AND(--LEFT(D26,FIND("-",D26)-1) = MAX(--LEFT($D$26:$N$26,FIND("-",$D$26:$N$26)-1)), COUNTIF($D$26:$N$26, MAX(--LEFT($D$26:$N$26,FIND("-",$D$26:$N$26)-1)) &amp; "-*") = 1)</formula>
    </cfRule>
  </conditionalFormatting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5" name="Button 1">
              <controlPr defaultSize="0" print="0" autoFill="0" autoPict="0" macro="[0]!UpdateCurrentSheet">
                <anchor moveWithCells="1" sizeWithCells="1">
                  <from>
                    <xdr:col>17</xdr:col>
                    <xdr:colOff>571500</xdr:colOff>
                    <xdr:row>2</xdr:row>
                    <xdr:rowOff>38100</xdr:rowOff>
                  </from>
                  <to>
                    <xdr:col>17</xdr:col>
                    <xdr:colOff>1219200</xdr:colOff>
                    <xdr:row>2</xdr:row>
                    <xdr:rowOff>355600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DB9A-1E3C-43DF-A8D1-F30224904C6A}">
  <sheetPr codeName="Sheet14"/>
  <dimension ref="A2:R36"/>
  <sheetViews>
    <sheetView workbookViewId="0">
      <selection activeCell="E29" sqref="E29"/>
    </sheetView>
  </sheetViews>
  <sheetFormatPr baseColWidth="10" defaultColWidth="8.83203125" defaultRowHeight="15"/>
  <cols>
    <col min="2" max="2" width="1.6640625" customWidth="1"/>
    <col min="3" max="3" width="11.6640625" style="1" bestFit="1" customWidth="1"/>
    <col min="4" max="14" width="13.1640625" customWidth="1"/>
    <col min="15" max="15" width="1.6640625" customWidth="1"/>
    <col min="16" max="16" width="15.5" bestFit="1" customWidth="1"/>
    <col min="17" max="17" width="1.6640625" customWidth="1"/>
    <col min="18" max="18" width="24.83203125" customWidth="1"/>
    <col min="19" max="19" width="1.6640625" customWidth="1"/>
  </cols>
  <sheetData>
    <row r="2" spans="1:18" ht="15" customHeight="1" thickBot="1">
      <c r="B2" s="31"/>
      <c r="C2" s="30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</row>
    <row r="3" spans="1:18" ht="32.25" customHeight="1" thickBot="1">
      <c r="B3" s="27"/>
      <c r="C3" s="186" t="s">
        <v>94</v>
      </c>
      <c r="D3" s="186"/>
      <c r="E3" s="186"/>
      <c r="F3" s="186"/>
      <c r="G3" s="186"/>
      <c r="H3" s="186"/>
      <c r="I3" s="186"/>
      <c r="J3" s="186"/>
      <c r="K3" s="186"/>
      <c r="L3" s="186"/>
      <c r="M3" s="186"/>
      <c r="N3" s="186"/>
      <c r="O3" s="186"/>
      <c r="P3" s="186"/>
      <c r="Q3" s="28"/>
    </row>
    <row r="4" spans="1:18" ht="15" customHeight="1" thickBot="1">
      <c r="A4" s="20"/>
      <c r="B4" s="19"/>
      <c r="C4" s="14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6"/>
      <c r="P4" s="6"/>
      <c r="Q4" s="16"/>
      <c r="R4" s="2"/>
    </row>
    <row r="5" spans="1:18" ht="23.25" customHeight="1" thickTop="1">
      <c r="A5" s="20"/>
      <c r="B5" s="6"/>
      <c r="C5" s="187" t="s">
        <v>18</v>
      </c>
      <c r="D5" s="189" t="s">
        <v>14</v>
      </c>
      <c r="E5" s="191" t="s">
        <v>2</v>
      </c>
      <c r="F5" s="193" t="s">
        <v>3</v>
      </c>
      <c r="G5" s="193" t="s">
        <v>4</v>
      </c>
      <c r="H5" s="193" t="s">
        <v>5</v>
      </c>
      <c r="I5" s="189" t="s">
        <v>6</v>
      </c>
      <c r="J5" s="189" t="s">
        <v>7</v>
      </c>
      <c r="K5" s="189" t="s">
        <v>8</v>
      </c>
      <c r="L5" s="191" t="s">
        <v>9</v>
      </c>
      <c r="M5" s="193" t="s">
        <v>10</v>
      </c>
      <c r="N5" s="189" t="s">
        <v>11</v>
      </c>
      <c r="O5" s="6"/>
      <c r="P5" s="195" t="s">
        <v>12</v>
      </c>
      <c r="Q5" s="17"/>
      <c r="R5" s="204" t="s">
        <v>389</v>
      </c>
    </row>
    <row r="6" spans="1:18" ht="8" customHeight="1" thickBot="1">
      <c r="A6" s="20"/>
      <c r="B6" s="6"/>
      <c r="C6" s="188"/>
      <c r="D6" s="190"/>
      <c r="E6" s="192"/>
      <c r="F6" s="194"/>
      <c r="G6" s="194"/>
      <c r="H6" s="194"/>
      <c r="I6" s="190"/>
      <c r="J6" s="190"/>
      <c r="K6" s="190"/>
      <c r="L6" s="192"/>
      <c r="M6" s="194"/>
      <c r="N6" s="190"/>
      <c r="O6" s="6"/>
      <c r="P6" s="196"/>
      <c r="Q6" s="17"/>
      <c r="R6" s="205"/>
    </row>
    <row r="7" spans="1:18" ht="16" thickTop="1">
      <c r="A7" s="20"/>
      <c r="B7" s="21"/>
      <c r="C7" s="81" t="s">
        <v>131</v>
      </c>
      <c r="D7" s="51" t="s">
        <v>330</v>
      </c>
      <c r="E7" s="52" t="s">
        <v>330</v>
      </c>
      <c r="F7" s="53" t="s">
        <v>328</v>
      </c>
      <c r="G7" s="82" t="s">
        <v>330</v>
      </c>
      <c r="H7" s="83" t="s">
        <v>330</v>
      </c>
      <c r="I7" s="82"/>
      <c r="J7" s="82" t="s">
        <v>330</v>
      </c>
      <c r="K7" s="82"/>
      <c r="L7" s="82" t="s">
        <v>330</v>
      </c>
      <c r="M7" s="82" t="s">
        <v>328</v>
      </c>
      <c r="N7" s="84" t="s">
        <v>328</v>
      </c>
      <c r="O7" s="36"/>
      <c r="P7" s="56" t="s">
        <v>328</v>
      </c>
      <c r="Q7" s="17"/>
      <c r="R7" s="117" t="s">
        <v>567</v>
      </c>
    </row>
    <row r="8" spans="1:18">
      <c r="A8" s="20"/>
      <c r="B8" s="21"/>
      <c r="C8" s="85" t="s">
        <v>128</v>
      </c>
      <c r="D8" s="57" t="s">
        <v>315</v>
      </c>
      <c r="E8" s="58" t="s">
        <v>315</v>
      </c>
      <c r="F8" s="59" t="s">
        <v>315</v>
      </c>
      <c r="G8" s="86" t="s">
        <v>315</v>
      </c>
      <c r="H8" s="87" t="s">
        <v>333</v>
      </c>
      <c r="I8" s="86"/>
      <c r="J8" s="86" t="s">
        <v>333</v>
      </c>
      <c r="K8" s="86"/>
      <c r="L8" s="86" t="s">
        <v>315</v>
      </c>
      <c r="M8" s="86" t="s">
        <v>333</v>
      </c>
      <c r="N8" s="88" t="s">
        <v>333</v>
      </c>
      <c r="O8" s="36"/>
      <c r="P8" s="62" t="s">
        <v>315</v>
      </c>
      <c r="Q8" s="17"/>
      <c r="R8" s="117" t="s">
        <v>568</v>
      </c>
    </row>
    <row r="9" spans="1:18">
      <c r="A9" s="20"/>
      <c r="B9" s="21"/>
      <c r="C9" s="89" t="s">
        <v>82</v>
      </c>
      <c r="D9" s="90" t="s">
        <v>307</v>
      </c>
      <c r="E9" s="91" t="s">
        <v>307</v>
      </c>
      <c r="F9" s="92" t="s">
        <v>311</v>
      </c>
      <c r="G9" s="92" t="s">
        <v>307</v>
      </c>
      <c r="H9" s="93" t="s">
        <v>307</v>
      </c>
      <c r="I9" s="92"/>
      <c r="J9" s="92" t="s">
        <v>307</v>
      </c>
      <c r="K9" s="92"/>
      <c r="L9" s="92" t="s">
        <v>307</v>
      </c>
      <c r="M9" s="92" t="s">
        <v>307</v>
      </c>
      <c r="N9" s="88" t="s">
        <v>307</v>
      </c>
      <c r="O9" s="36"/>
      <c r="P9" s="104" t="s">
        <v>307</v>
      </c>
      <c r="Q9" s="17"/>
      <c r="R9" s="117" t="s">
        <v>569</v>
      </c>
    </row>
    <row r="10" spans="1:18">
      <c r="A10" s="20"/>
      <c r="B10" s="21"/>
      <c r="C10" s="89" t="s">
        <v>285</v>
      </c>
      <c r="D10" s="90" t="s">
        <v>314</v>
      </c>
      <c r="E10" s="91" t="s">
        <v>314</v>
      </c>
      <c r="F10" s="92" t="s">
        <v>314</v>
      </c>
      <c r="G10" s="92" t="s">
        <v>314</v>
      </c>
      <c r="H10" s="93" t="s">
        <v>314</v>
      </c>
      <c r="I10" s="92"/>
      <c r="J10" s="92" t="s">
        <v>314</v>
      </c>
      <c r="K10" s="92"/>
      <c r="L10" s="92" t="s">
        <v>314</v>
      </c>
      <c r="M10" s="92" t="s">
        <v>314</v>
      </c>
      <c r="N10" s="88" t="s">
        <v>314</v>
      </c>
      <c r="O10" s="36"/>
      <c r="P10" s="104" t="s">
        <v>314</v>
      </c>
      <c r="Q10" s="17"/>
      <c r="R10" s="117" t="s">
        <v>570</v>
      </c>
    </row>
    <row r="11" spans="1:18">
      <c r="A11" s="20"/>
      <c r="B11" s="21"/>
      <c r="C11" s="89" t="s">
        <v>286</v>
      </c>
      <c r="D11" s="90" t="s">
        <v>336</v>
      </c>
      <c r="E11" s="91" t="s">
        <v>336</v>
      </c>
      <c r="F11" s="92" t="s">
        <v>323</v>
      </c>
      <c r="G11" s="92" t="s">
        <v>323</v>
      </c>
      <c r="H11" s="93" t="s">
        <v>323</v>
      </c>
      <c r="I11" s="92"/>
      <c r="J11" s="92" t="s">
        <v>336</v>
      </c>
      <c r="K11" s="92"/>
      <c r="L11" s="92" t="s">
        <v>323</v>
      </c>
      <c r="M11" s="92" t="s">
        <v>336</v>
      </c>
      <c r="N11" s="88" t="s">
        <v>323</v>
      </c>
      <c r="O11" s="36"/>
      <c r="P11" s="104" t="s">
        <v>323</v>
      </c>
      <c r="Q11" s="17"/>
      <c r="R11" s="117" t="s">
        <v>571</v>
      </c>
    </row>
    <row r="12" spans="1:18">
      <c r="A12" s="20"/>
      <c r="B12" s="21"/>
      <c r="C12" s="94" t="s">
        <v>287</v>
      </c>
      <c r="D12" s="95" t="s">
        <v>316</v>
      </c>
      <c r="E12" s="96" t="s">
        <v>337</v>
      </c>
      <c r="F12" s="82" t="s">
        <v>337</v>
      </c>
      <c r="G12" s="82" t="s">
        <v>337</v>
      </c>
      <c r="H12" s="83" t="s">
        <v>316</v>
      </c>
      <c r="I12" s="82"/>
      <c r="J12" s="82" t="s">
        <v>316</v>
      </c>
      <c r="K12" s="82"/>
      <c r="L12" s="82" t="s">
        <v>316</v>
      </c>
      <c r="M12" s="82" t="s">
        <v>316</v>
      </c>
      <c r="N12" s="84" t="s">
        <v>316</v>
      </c>
      <c r="O12" s="36"/>
      <c r="P12" s="104" t="s">
        <v>337</v>
      </c>
      <c r="Q12" s="17"/>
      <c r="R12" s="117" t="s">
        <v>572</v>
      </c>
    </row>
    <row r="13" spans="1:18">
      <c r="A13" s="20"/>
      <c r="B13" s="21"/>
      <c r="C13" s="89" t="s">
        <v>288</v>
      </c>
      <c r="D13" s="97" t="s">
        <v>326</v>
      </c>
      <c r="E13" s="98" t="s">
        <v>326</v>
      </c>
      <c r="F13" s="92" t="s">
        <v>326</v>
      </c>
      <c r="G13" s="92" t="s">
        <v>326</v>
      </c>
      <c r="H13" s="93" t="s">
        <v>310</v>
      </c>
      <c r="I13" s="92"/>
      <c r="J13" s="92" t="s">
        <v>326</v>
      </c>
      <c r="K13" s="92"/>
      <c r="L13" s="92" t="s">
        <v>326</v>
      </c>
      <c r="M13" s="92" t="s">
        <v>326</v>
      </c>
      <c r="N13" s="88" t="s">
        <v>326</v>
      </c>
      <c r="O13" s="36"/>
      <c r="P13" s="104" t="s">
        <v>326</v>
      </c>
      <c r="Q13" s="17"/>
      <c r="R13" s="117" t="s">
        <v>573</v>
      </c>
    </row>
    <row r="14" spans="1:18">
      <c r="A14" s="20"/>
      <c r="B14" s="21"/>
      <c r="C14" s="89" t="s">
        <v>289</v>
      </c>
      <c r="D14" s="97" t="s">
        <v>335</v>
      </c>
      <c r="E14" s="98" t="s">
        <v>332</v>
      </c>
      <c r="F14" s="92" t="s">
        <v>332</v>
      </c>
      <c r="G14" s="92" t="s">
        <v>332</v>
      </c>
      <c r="H14" s="93" t="s">
        <v>335</v>
      </c>
      <c r="I14" s="92"/>
      <c r="J14" s="92" t="s">
        <v>335</v>
      </c>
      <c r="K14" s="92"/>
      <c r="L14" s="92" t="s">
        <v>332</v>
      </c>
      <c r="M14" s="92" t="s">
        <v>335</v>
      </c>
      <c r="N14" s="88" t="s">
        <v>332</v>
      </c>
      <c r="O14" s="36"/>
      <c r="P14" s="104" t="s">
        <v>332</v>
      </c>
      <c r="Q14" s="17"/>
      <c r="R14" s="117" t="s">
        <v>574</v>
      </c>
    </row>
    <row r="15" spans="1:18">
      <c r="A15" s="20"/>
      <c r="B15" s="21"/>
      <c r="C15" s="89" t="s">
        <v>122</v>
      </c>
      <c r="D15" s="97" t="s">
        <v>317</v>
      </c>
      <c r="E15" s="98" t="s">
        <v>338</v>
      </c>
      <c r="F15" s="92" t="s">
        <v>317</v>
      </c>
      <c r="G15" s="92" t="s">
        <v>338</v>
      </c>
      <c r="H15" s="93" t="s">
        <v>317</v>
      </c>
      <c r="I15" s="92"/>
      <c r="J15" s="92" t="s">
        <v>317</v>
      </c>
      <c r="K15" s="92"/>
      <c r="L15" s="92" t="s">
        <v>317</v>
      </c>
      <c r="M15" s="92" t="s">
        <v>317</v>
      </c>
      <c r="N15" s="88" t="s">
        <v>317</v>
      </c>
      <c r="O15" s="36"/>
      <c r="P15" s="104" t="s">
        <v>338</v>
      </c>
      <c r="Q15" s="17"/>
      <c r="R15" s="117" t="s">
        <v>575</v>
      </c>
    </row>
    <row r="16" spans="1:18">
      <c r="A16" s="20"/>
      <c r="B16" s="21"/>
      <c r="C16" s="89" t="s">
        <v>290</v>
      </c>
      <c r="D16" s="97" t="s">
        <v>331</v>
      </c>
      <c r="E16" s="98" t="s">
        <v>309</v>
      </c>
      <c r="F16" s="92" t="s">
        <v>309</v>
      </c>
      <c r="G16" s="92" t="s">
        <v>309</v>
      </c>
      <c r="H16" s="93" t="s">
        <v>309</v>
      </c>
      <c r="I16" s="92"/>
      <c r="J16" s="92" t="s">
        <v>331</v>
      </c>
      <c r="K16" s="92"/>
      <c r="L16" s="92" t="s">
        <v>309</v>
      </c>
      <c r="M16" s="92" t="s">
        <v>331</v>
      </c>
      <c r="N16" s="88" t="s">
        <v>331</v>
      </c>
      <c r="O16" s="36"/>
      <c r="P16" s="104" t="s">
        <v>309</v>
      </c>
      <c r="Q16" s="17"/>
      <c r="R16" s="117" t="s">
        <v>577</v>
      </c>
    </row>
    <row r="17" spans="1:18">
      <c r="A17" s="20"/>
      <c r="B17" s="21"/>
      <c r="C17" s="89" t="s">
        <v>291</v>
      </c>
      <c r="D17" s="97" t="s">
        <v>312</v>
      </c>
      <c r="E17" s="98" t="s">
        <v>313</v>
      </c>
      <c r="F17" s="92" t="s">
        <v>313</v>
      </c>
      <c r="G17" s="92" t="s">
        <v>313</v>
      </c>
      <c r="H17" s="93" t="s">
        <v>313</v>
      </c>
      <c r="I17" s="92"/>
      <c r="J17" s="92" t="s">
        <v>313</v>
      </c>
      <c r="K17" s="92"/>
      <c r="L17" s="92" t="s">
        <v>312</v>
      </c>
      <c r="M17" s="92" t="s">
        <v>312</v>
      </c>
      <c r="N17" s="88" t="s">
        <v>313</v>
      </c>
      <c r="O17" s="36"/>
      <c r="P17" s="104" t="s">
        <v>312</v>
      </c>
      <c r="Q17" s="17"/>
      <c r="R17" s="117" t="s">
        <v>578</v>
      </c>
    </row>
    <row r="18" spans="1:18">
      <c r="A18" s="20"/>
      <c r="B18" s="21"/>
      <c r="C18" s="89" t="s">
        <v>292</v>
      </c>
      <c r="D18" s="97" t="s">
        <v>324</v>
      </c>
      <c r="E18" s="98" t="s">
        <v>324</v>
      </c>
      <c r="F18" s="92" t="s">
        <v>324</v>
      </c>
      <c r="G18" s="92" t="s">
        <v>324</v>
      </c>
      <c r="H18" s="93" t="s">
        <v>319</v>
      </c>
      <c r="I18" s="92"/>
      <c r="J18" s="92" t="s">
        <v>324</v>
      </c>
      <c r="K18" s="92"/>
      <c r="L18" s="92" t="s">
        <v>324</v>
      </c>
      <c r="M18" s="92" t="s">
        <v>324</v>
      </c>
      <c r="N18" s="88" t="s">
        <v>324</v>
      </c>
      <c r="O18" s="36"/>
      <c r="P18" s="104" t="s">
        <v>324</v>
      </c>
      <c r="Q18" s="17"/>
      <c r="R18" s="117" t="s">
        <v>579</v>
      </c>
    </row>
    <row r="19" spans="1:18">
      <c r="A19" s="20"/>
      <c r="B19" s="21"/>
      <c r="C19" s="89" t="s">
        <v>293</v>
      </c>
      <c r="D19" s="97" t="s">
        <v>321</v>
      </c>
      <c r="E19" s="98" t="s">
        <v>327</v>
      </c>
      <c r="F19" s="92" t="s">
        <v>321</v>
      </c>
      <c r="G19" s="92" t="s">
        <v>321</v>
      </c>
      <c r="H19" s="93" t="s">
        <v>321</v>
      </c>
      <c r="I19" s="92"/>
      <c r="J19" s="92" t="s">
        <v>321</v>
      </c>
      <c r="K19" s="92"/>
      <c r="L19" s="92" t="s">
        <v>321</v>
      </c>
      <c r="M19" s="92" t="s">
        <v>321</v>
      </c>
      <c r="N19" s="88" t="s">
        <v>321</v>
      </c>
      <c r="O19" s="36"/>
      <c r="P19" s="104" t="s">
        <v>327</v>
      </c>
      <c r="Q19" s="17"/>
      <c r="R19" s="117" t="s">
        <v>580</v>
      </c>
    </row>
    <row r="20" spans="1:18">
      <c r="A20" s="20"/>
      <c r="B20" s="21"/>
      <c r="C20" s="89" t="s">
        <v>294</v>
      </c>
      <c r="D20" s="97" t="s">
        <v>322</v>
      </c>
      <c r="E20" s="98" t="s">
        <v>322</v>
      </c>
      <c r="F20" s="92" t="s">
        <v>322</v>
      </c>
      <c r="G20" s="92" t="s">
        <v>322</v>
      </c>
      <c r="H20" s="93" t="s">
        <v>322</v>
      </c>
      <c r="I20" s="92"/>
      <c r="J20" s="92" t="s">
        <v>322</v>
      </c>
      <c r="K20" s="92"/>
      <c r="L20" s="92" t="s">
        <v>322</v>
      </c>
      <c r="M20" s="92" t="s">
        <v>322</v>
      </c>
      <c r="N20" s="88" t="s">
        <v>322</v>
      </c>
      <c r="O20" s="36"/>
      <c r="P20" s="104" t="s">
        <v>322</v>
      </c>
      <c r="Q20" s="17"/>
      <c r="R20" s="117" t="s">
        <v>581</v>
      </c>
    </row>
    <row r="21" spans="1:18">
      <c r="A21" s="20"/>
      <c r="B21" s="21"/>
      <c r="C21" s="89" t="s">
        <v>295</v>
      </c>
      <c r="D21" s="97" t="s">
        <v>318</v>
      </c>
      <c r="E21" s="98" t="s">
        <v>318</v>
      </c>
      <c r="F21" s="92" t="s">
        <v>318</v>
      </c>
      <c r="G21" s="92" t="s">
        <v>318</v>
      </c>
      <c r="H21" s="93" t="s">
        <v>318</v>
      </c>
      <c r="I21" s="92"/>
      <c r="J21" s="92" t="s">
        <v>318</v>
      </c>
      <c r="K21" s="92"/>
      <c r="L21" s="92" t="s">
        <v>318</v>
      </c>
      <c r="M21" s="92" t="s">
        <v>329</v>
      </c>
      <c r="N21" s="88" t="s">
        <v>318</v>
      </c>
      <c r="O21" s="36"/>
      <c r="P21" s="104" t="s">
        <v>318</v>
      </c>
      <c r="Q21" s="17"/>
      <c r="R21" s="117" t="s">
        <v>576</v>
      </c>
    </row>
    <row r="22" spans="1:18" ht="16" thickBot="1">
      <c r="A22" s="20"/>
      <c r="B22" s="21"/>
      <c r="C22" s="99" t="s">
        <v>296</v>
      </c>
      <c r="D22" s="100" t="s">
        <v>320</v>
      </c>
      <c r="E22" s="101" t="s">
        <v>320</v>
      </c>
      <c r="F22" s="102" t="s">
        <v>308</v>
      </c>
      <c r="G22" s="102" t="s">
        <v>320</v>
      </c>
      <c r="H22" s="100" t="s">
        <v>308</v>
      </c>
      <c r="I22" s="102"/>
      <c r="J22" s="102" t="s">
        <v>320</v>
      </c>
      <c r="K22" s="102"/>
      <c r="L22" s="102" t="s">
        <v>320</v>
      </c>
      <c r="M22" s="102" t="s">
        <v>320</v>
      </c>
      <c r="N22" s="103" t="s">
        <v>320</v>
      </c>
      <c r="O22" s="36"/>
      <c r="P22" s="105"/>
      <c r="Q22" s="17"/>
      <c r="R22" s="118" t="s">
        <v>340</v>
      </c>
    </row>
    <row r="23" spans="1:18" ht="16" thickTop="1">
      <c r="A23" s="20"/>
      <c r="B23" s="6"/>
      <c r="C23" s="37"/>
      <c r="D23" s="38"/>
      <c r="E23" s="39"/>
      <c r="F23" s="38"/>
      <c r="G23" s="38"/>
      <c r="H23" s="40"/>
      <c r="I23" s="38"/>
      <c r="J23" s="38"/>
      <c r="K23" s="38"/>
      <c r="L23" s="38"/>
      <c r="M23" s="38"/>
      <c r="N23" s="38"/>
      <c r="O23" s="36"/>
      <c r="P23" s="41" t="s">
        <v>16</v>
      </c>
      <c r="Q23" s="17"/>
      <c r="R23" s="2"/>
    </row>
    <row r="24" spans="1:18">
      <c r="A24" s="20"/>
      <c r="B24" s="6"/>
      <c r="C24" s="42" t="s">
        <v>15</v>
      </c>
      <c r="D24" s="82">
        <v>49</v>
      </c>
      <c r="E24" s="107">
        <v>39</v>
      </c>
      <c r="F24" s="82">
        <v>48</v>
      </c>
      <c r="G24" s="82">
        <v>48</v>
      </c>
      <c r="H24" s="83">
        <v>47</v>
      </c>
      <c r="I24" s="82"/>
      <c r="J24" s="82">
        <v>45</v>
      </c>
      <c r="K24" s="82"/>
      <c r="L24" s="82">
        <v>43</v>
      </c>
      <c r="M24" s="82">
        <v>50</v>
      </c>
      <c r="N24" s="82">
        <v>45</v>
      </c>
      <c r="O24" s="36"/>
      <c r="P24" s="106"/>
      <c r="Q24" s="17"/>
      <c r="R24" s="2"/>
    </row>
    <row r="25" spans="1:18">
      <c r="A25" s="20"/>
      <c r="B25" s="6"/>
      <c r="C25" s="43"/>
      <c r="D25" s="38"/>
      <c r="E25" s="39"/>
      <c r="F25" s="38"/>
      <c r="G25" s="38"/>
      <c r="H25" s="40"/>
      <c r="I25" s="38"/>
      <c r="J25" s="38"/>
      <c r="K25" s="38"/>
      <c r="L25" s="38"/>
      <c r="M25" s="38"/>
      <c r="N25" s="38"/>
      <c r="O25" s="36"/>
      <c r="P25" s="36"/>
      <c r="Q25" s="17"/>
      <c r="R25" s="2"/>
    </row>
    <row r="26" spans="1:18">
      <c r="A26" s="20"/>
      <c r="B26" s="6"/>
      <c r="C26" s="44" t="s">
        <v>13</v>
      </c>
      <c r="D26" s="45" t="str" cm="1">
        <f t="array" ref="D26">SUMPRODUCT(--(D7:D22=$P$7:$P$22), --($P$7:$P$22&lt;&gt;"")) &amp; "-" &amp; SUMPRODUCT(--(D7:D22&lt;&gt;$P$7:$P$22), --($P$7:$P$22&lt;&gt;""))</f>
        <v>8-7</v>
      </c>
      <c r="E26" s="46" t="str" cm="1">
        <f t="array" ref="E26">SUMPRODUCT(--(E7:E22=$P$7:$P$22), --($P$7:$P$22&lt;&gt;"")) &amp; "-" &amp; SUMPRODUCT(--(E7:E22&lt;&gt;$P$7:$P$22), --($P$7:$P$22&lt;&gt;""))</f>
        <v>12-3</v>
      </c>
      <c r="F26" s="45" t="str" cm="1">
        <f t="array" ref="F26">SUMPRODUCT(--(F7:F22=$P$7:$P$22), --($P$7:$P$22&lt;&gt;"")) &amp; "-" &amp; SUMPRODUCT(--(F7:F22&lt;&gt;$P$7:$P$22), --($P$7:$P$22&lt;&gt;""))</f>
        <v>11-4</v>
      </c>
      <c r="G26" s="45" t="str" cm="1">
        <f t="array" ref="G26">SUMPRODUCT(--(G7:G22=$P$7:$P$22), --($P$7:$P$22&lt;&gt;"")) &amp; "-" &amp; SUMPRODUCT(--(G7:G22&lt;&gt;$P$7:$P$22), --($P$7:$P$22&lt;&gt;""))</f>
        <v>12-3</v>
      </c>
      <c r="H26" s="47" t="str" cm="1">
        <f t="array" ref="H26">SUMPRODUCT(--(H7:H22=$P$7:$P$22), --($P$7:$P$22&lt;&gt;"")) &amp; "-" &amp; SUMPRODUCT(--(H7:H22&lt;&gt;$P$7:$P$22), --($P$7:$P$22&lt;&gt;""))</f>
        <v>6-9</v>
      </c>
      <c r="I26" s="45" t="str" cm="1">
        <f t="array" ref="I26">SUMPRODUCT(--(I7:I22=$P$7:$P$22), --($P$7:$P$22&lt;&gt;"")) &amp; "-" &amp; SUMPRODUCT(--(I7:I22&lt;&gt;$P$7:$P$22), --($P$7:$P$22&lt;&gt;""))</f>
        <v>0-15</v>
      </c>
      <c r="J26" s="45" t="str" cm="1">
        <f t="array" ref="J26">SUMPRODUCT(--(J7:J22=$P$7:$P$22), --($P$7:$P$22&lt;&gt;"")) &amp; "-" &amp; SUMPRODUCT(--(J7:J22&lt;&gt;$P$7:$P$22), --($P$7:$P$22&lt;&gt;""))</f>
        <v>6-9</v>
      </c>
      <c r="K26" s="45" t="str" cm="1">
        <f t="array" ref="K26">SUMPRODUCT(--(K7:K22=$P$7:$P$22), --($P$7:$P$22&lt;&gt;"")) &amp; "-" &amp; SUMPRODUCT(--(K7:K22&lt;&gt;$P$7:$P$22), --($P$7:$P$22&lt;&gt;""))</f>
        <v>0-15</v>
      </c>
      <c r="L26" s="45" t="str" cm="1">
        <f t="array" ref="L26">SUMPRODUCT(--(L7:L22=$P$7:$P$22), --($P$7:$P$22&lt;&gt;"")) &amp; "-" &amp; SUMPRODUCT(--(L7:L22&lt;&gt;$P$7:$P$22), --($P$7:$P$22&lt;&gt;""))</f>
        <v>11-4</v>
      </c>
      <c r="M26" s="45" t="str" cm="1">
        <f t="array" ref="M26">SUMPRODUCT(--(M7:M22=$P$7:$P$22), --($P$7:$P$22&lt;&gt;"")) &amp; "-" &amp; SUMPRODUCT(--(M7:M22&lt;&gt;$P$7:$P$22), --($P$7:$P$22&lt;&gt;""))</f>
        <v>7-8</v>
      </c>
      <c r="N26" s="45" t="str" cm="1">
        <f t="array" ref="N26">SUMPRODUCT(--(N7:N22=$P$7:$P$22), --($P$7:$P$22&lt;&gt;"")) &amp; "-" &amp; SUMPRODUCT(--(N7:N22&lt;&gt;$P$7:$P$22), --($P$7:$P$22&lt;&gt;""))</f>
        <v>9-6</v>
      </c>
      <c r="O26" s="36"/>
      <c r="P26" s="36"/>
      <c r="Q26" s="17"/>
      <c r="R26" s="2"/>
    </row>
    <row r="27" spans="1:18">
      <c r="A27" s="20"/>
      <c r="B27" s="6"/>
      <c r="C27" s="7"/>
      <c r="D27" s="11">
        <f>VALUE(LEFT(D26,FIND("-",D26)-1)) - VALUE(MID(D26,FIND("-",D26)+1,LEN(D26)-FIND("-",D26)))</f>
        <v>1</v>
      </c>
      <c r="E27" s="11">
        <f t="shared" ref="E27:N27" si="0">VALUE(LEFT(E26,FIND("-",E26)-1)) - VALUE(MID(E26,FIND("-",E26)+1,LEN(E26)-FIND("-",E26)))</f>
        <v>9</v>
      </c>
      <c r="F27" s="11">
        <f t="shared" si="0"/>
        <v>7</v>
      </c>
      <c r="G27" s="11">
        <f t="shared" si="0"/>
        <v>9</v>
      </c>
      <c r="H27" s="11">
        <f t="shared" si="0"/>
        <v>-3</v>
      </c>
      <c r="I27" s="11">
        <f t="shared" si="0"/>
        <v>-15</v>
      </c>
      <c r="J27" s="11">
        <f t="shared" si="0"/>
        <v>-3</v>
      </c>
      <c r="K27" s="11">
        <f t="shared" si="0"/>
        <v>-15</v>
      </c>
      <c r="L27" s="11">
        <f t="shared" si="0"/>
        <v>7</v>
      </c>
      <c r="M27" s="11">
        <f t="shared" si="0"/>
        <v>-1</v>
      </c>
      <c r="N27" s="11">
        <f t="shared" si="0"/>
        <v>3</v>
      </c>
      <c r="O27" s="6"/>
      <c r="P27" s="6"/>
      <c r="Q27" s="17"/>
      <c r="R27" s="2"/>
    </row>
    <row r="28" spans="1:18" ht="24" customHeight="1">
      <c r="A28" s="20"/>
      <c r="B28" s="12"/>
      <c r="C28" s="199" t="s">
        <v>17</v>
      </c>
      <c r="D28" s="200"/>
      <c r="E28" s="201" t="str" cm="1">
        <f t="array" ref="E28">IF(P24="", "",
   _xlfn.LET(
      _xlpm.scores, D27:N27,
      _xlpm.names, D5:N5,
      _xlpm.tiebreaks, D24:N24,
      _xlpm.guesses, D26:N26,
      _xlpm.maxScore, MAX(_xlpm.scores),
      _xlpm.topScorers, IF(_xlpm.scores=_xlpm.maxScore, 1, 0),
      _xlpm.tiebreakDiffs, IF(_xlpm.topScorers, ABS(_xlpm.tiebreaks - P24), ""),
      _xlpm.minDiff, MIN(IF(_xlpm.tiebreakDiffs&lt;&gt;"", _xlpm.tiebreakDiffs)),
      _xlpm.winners, IF((_xlpm.scores=_xlpm.maxScore)*(ABS(_xlpm.tiebreaks - P24)=_xlpm.minDiff), _xlpm.names, ""),
      _xlpm.guessMatch, INDEX(_xlpm.guesses, MATCH(1, (_xlpm.scores=_xlpm.maxScore)*(ABS(_xlpm.tiebreaks - P24)=_xlpm.minDiff), 0)),
      _xlpm.winnerList, _xlfn.TEXTJOIN(", ", TRUE, _xlpm.winners),
      IF(COUNTA(_xlfn._xlws.FILTER(_xlpm.winners, _xlpm.winners&lt;&gt;""))=1,
         _xlpm.winnerList &amp; " (" &amp; _xlpm.guessMatch &amp; ")",
         _xlpm.winnerList
      )
   )
)</f>
        <v/>
      </c>
      <c r="F28" s="202"/>
      <c r="G28" s="203"/>
      <c r="H28" s="6"/>
      <c r="I28" s="6"/>
      <c r="J28" s="6"/>
      <c r="K28" s="6"/>
      <c r="L28" s="6"/>
      <c r="M28" s="6"/>
      <c r="N28" s="6"/>
      <c r="O28" s="6"/>
      <c r="P28" s="6"/>
      <c r="Q28" s="17"/>
    </row>
    <row r="29" spans="1:18" ht="15" customHeight="1" thickBot="1">
      <c r="A29" s="20"/>
      <c r="B29" s="22"/>
      <c r="C29" s="32"/>
      <c r="D29" s="32"/>
      <c r="E29" s="33"/>
      <c r="F29" s="33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5"/>
    </row>
    <row r="30" spans="1:18" ht="16" thickTop="1">
      <c r="D30" s="1"/>
    </row>
    <row r="35" spans="9:9" ht="16" thickBot="1"/>
    <row r="36" spans="9:9" ht="16" thickTop="1">
      <c r="I36" s="13"/>
    </row>
  </sheetData>
  <sheetProtection selectLockedCells="1"/>
  <customSheetViews>
    <customSheetView guid="{096EED88-6BAE-D941-AE0E-0C5B75B09829}">
      <selection activeCell="E29" sqref="E29"/>
      <pageMargins left="0.7" right="0.7" top="0.75" bottom="0.75" header="0.3" footer="0.3"/>
      <pageSetup orientation="portrait" r:id="rId1"/>
    </customSheetView>
  </customSheetViews>
  <mergeCells count="17">
    <mergeCell ref="R5:R6"/>
    <mergeCell ref="C28:D28"/>
    <mergeCell ref="E28:G28"/>
    <mergeCell ref="C3:P3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  <mergeCell ref="N5:N6"/>
    <mergeCell ref="P5:P6"/>
  </mergeCells>
  <conditionalFormatting sqref="D7:N22">
    <cfRule type="expression" dxfId="11" priority="3">
      <formula>AND($P7=D7, $P7&lt;&gt;"")</formula>
    </cfRule>
    <cfRule type="expression" dxfId="10" priority="4">
      <formula>AND($P7&lt;&gt;D7, $P7&lt;&gt;"")</formula>
    </cfRule>
  </conditionalFormatting>
  <conditionalFormatting sqref="D26:N26">
    <cfRule type="expression" dxfId="9" priority="1">
      <formula>AND(--LEFT(D26,FIND("-",D26)-1) = MAX(--LEFT($D$26:$N$26,FIND("-",$D$26:$N$26)-1)), COUNTIF($D$26:$N$26, MAX(--LEFT($D$26:$N$26,FIND("-",$D$26:$N$26)-1)) &amp; "-*") &gt; 1)</formula>
    </cfRule>
    <cfRule type="expression" dxfId="8" priority="2">
      <formula>AND(--LEFT(D26,FIND("-",D26)-1) = MAX(--LEFT($D$26:$N$26,FIND("-",$D$26:$N$26)-1)), COUNTIF($D$26:$N$26, MAX(--LEFT($D$26:$N$26,FIND("-",$D$26:$N$26)-1)) &amp; "-*") = 1)</formula>
    </cfRule>
  </conditionalFormatting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UpdateCurrentSheet">
                <anchor moveWithCells="1" sizeWithCells="1">
                  <from>
                    <xdr:col>17</xdr:col>
                    <xdr:colOff>558800</xdr:colOff>
                    <xdr:row>2</xdr:row>
                    <xdr:rowOff>63500</xdr:rowOff>
                  </from>
                  <to>
                    <xdr:col>17</xdr:col>
                    <xdr:colOff>1206500</xdr:colOff>
                    <xdr:row>2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3005B-F0EA-4EB8-84B1-1BCC6FE74EA1}">
  <sheetPr codeName="Sheet15"/>
  <dimension ref="A2:R36"/>
  <sheetViews>
    <sheetView workbookViewId="0">
      <selection activeCell="E29" sqref="E29"/>
    </sheetView>
  </sheetViews>
  <sheetFormatPr baseColWidth="10" defaultColWidth="8.83203125" defaultRowHeight="15"/>
  <cols>
    <col min="2" max="2" width="1.6640625" customWidth="1"/>
    <col min="3" max="3" width="11.6640625" style="1" bestFit="1" customWidth="1"/>
    <col min="4" max="14" width="13.1640625" customWidth="1"/>
    <col min="15" max="15" width="1.6640625" customWidth="1"/>
    <col min="16" max="16" width="15.5" bestFit="1" customWidth="1"/>
    <col min="17" max="17" width="1.6640625" customWidth="1"/>
    <col min="18" max="18" width="24.83203125" customWidth="1"/>
    <col min="19" max="19" width="1.6640625" customWidth="1"/>
  </cols>
  <sheetData>
    <row r="2" spans="1:18" ht="15" customHeight="1" thickBot="1">
      <c r="B2" s="31"/>
      <c r="C2" s="30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</row>
    <row r="3" spans="1:18" ht="32.25" customHeight="1" thickBot="1">
      <c r="B3" s="27"/>
      <c r="C3" s="186" t="s">
        <v>93</v>
      </c>
      <c r="D3" s="186"/>
      <c r="E3" s="186"/>
      <c r="F3" s="186"/>
      <c r="G3" s="186"/>
      <c r="H3" s="186"/>
      <c r="I3" s="186"/>
      <c r="J3" s="186"/>
      <c r="K3" s="186"/>
      <c r="L3" s="186"/>
      <c r="M3" s="186"/>
      <c r="N3" s="186"/>
      <c r="O3" s="186"/>
      <c r="P3" s="186"/>
      <c r="Q3" s="28"/>
    </row>
    <row r="4" spans="1:18" ht="15" customHeight="1" thickBot="1">
      <c r="A4" s="20"/>
      <c r="B4" s="19"/>
      <c r="C4" s="14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6"/>
      <c r="P4" s="6"/>
      <c r="Q4" s="16"/>
      <c r="R4" s="2"/>
    </row>
    <row r="5" spans="1:18" ht="23.25" customHeight="1" thickTop="1">
      <c r="A5" s="20"/>
      <c r="B5" s="6"/>
      <c r="C5" s="187" t="s">
        <v>18</v>
      </c>
      <c r="D5" s="189" t="s">
        <v>14</v>
      </c>
      <c r="E5" s="191" t="s">
        <v>2</v>
      </c>
      <c r="F5" s="193" t="s">
        <v>3</v>
      </c>
      <c r="G5" s="193" t="s">
        <v>4</v>
      </c>
      <c r="H5" s="193" t="s">
        <v>5</v>
      </c>
      <c r="I5" s="189" t="s">
        <v>6</v>
      </c>
      <c r="J5" s="189" t="s">
        <v>7</v>
      </c>
      <c r="K5" s="189" t="s">
        <v>8</v>
      </c>
      <c r="L5" s="191" t="s">
        <v>9</v>
      </c>
      <c r="M5" s="193" t="s">
        <v>10</v>
      </c>
      <c r="N5" s="189" t="s">
        <v>11</v>
      </c>
      <c r="O5" s="6"/>
      <c r="P5" s="195" t="s">
        <v>12</v>
      </c>
      <c r="Q5" s="17"/>
      <c r="R5" s="204" t="s">
        <v>389</v>
      </c>
    </row>
    <row r="6" spans="1:18" ht="8" customHeight="1" thickBot="1">
      <c r="A6" s="20"/>
      <c r="B6" s="6"/>
      <c r="C6" s="188"/>
      <c r="D6" s="190"/>
      <c r="E6" s="192"/>
      <c r="F6" s="194"/>
      <c r="G6" s="194"/>
      <c r="H6" s="194"/>
      <c r="I6" s="190"/>
      <c r="J6" s="190"/>
      <c r="K6" s="190"/>
      <c r="L6" s="192"/>
      <c r="M6" s="194"/>
      <c r="N6" s="190"/>
      <c r="O6" s="6"/>
      <c r="P6" s="196"/>
      <c r="Q6" s="17"/>
      <c r="R6" s="205"/>
    </row>
    <row r="7" spans="1:18" ht="16" thickTop="1">
      <c r="A7" s="20"/>
      <c r="B7" s="21"/>
      <c r="C7" s="81" t="s">
        <v>125</v>
      </c>
      <c r="D7" s="51" t="s">
        <v>336</v>
      </c>
      <c r="E7" s="52"/>
      <c r="F7" s="53" t="s">
        <v>336</v>
      </c>
      <c r="G7" s="82" t="s">
        <v>336</v>
      </c>
      <c r="H7" s="83" t="s">
        <v>311</v>
      </c>
      <c r="I7" s="82"/>
      <c r="J7" s="82" t="s">
        <v>336</v>
      </c>
      <c r="K7" s="82"/>
      <c r="L7" s="82" t="s">
        <v>336</v>
      </c>
      <c r="M7" s="82" t="s">
        <v>336</v>
      </c>
      <c r="N7" s="84" t="s">
        <v>336</v>
      </c>
      <c r="O7" s="36"/>
      <c r="P7" s="56" t="s">
        <v>336</v>
      </c>
      <c r="Q7" s="17"/>
      <c r="R7" s="117" t="s">
        <v>582</v>
      </c>
    </row>
    <row r="8" spans="1:18">
      <c r="A8" s="20"/>
      <c r="B8" s="21"/>
      <c r="C8" s="85" t="s">
        <v>127</v>
      </c>
      <c r="D8" s="57" t="s">
        <v>321</v>
      </c>
      <c r="E8" s="58"/>
      <c r="F8" s="59" t="s">
        <v>332</v>
      </c>
      <c r="G8" s="86" t="s">
        <v>321</v>
      </c>
      <c r="H8" s="87" t="s">
        <v>321</v>
      </c>
      <c r="I8" s="86"/>
      <c r="J8" s="86" t="s">
        <v>321</v>
      </c>
      <c r="K8" s="86"/>
      <c r="L8" s="86" t="s">
        <v>321</v>
      </c>
      <c r="M8" s="86" t="s">
        <v>321</v>
      </c>
      <c r="N8" s="88" t="s">
        <v>321</v>
      </c>
      <c r="O8" s="36"/>
      <c r="P8" s="62" t="s">
        <v>332</v>
      </c>
      <c r="Q8" s="17"/>
      <c r="R8" s="117" t="s">
        <v>583</v>
      </c>
    </row>
    <row r="9" spans="1:18">
      <c r="A9" s="20"/>
      <c r="B9" s="21"/>
      <c r="C9" s="89" t="s">
        <v>126</v>
      </c>
      <c r="D9" s="90" t="s">
        <v>313</v>
      </c>
      <c r="E9" s="91"/>
      <c r="F9" s="92" t="s">
        <v>313</v>
      </c>
      <c r="G9" s="92" t="s">
        <v>313</v>
      </c>
      <c r="H9" s="93" t="s">
        <v>313</v>
      </c>
      <c r="I9" s="92"/>
      <c r="J9" s="92" t="s">
        <v>313</v>
      </c>
      <c r="K9" s="92"/>
      <c r="L9" s="92" t="s">
        <v>313</v>
      </c>
      <c r="M9" s="92" t="s">
        <v>313</v>
      </c>
      <c r="N9" s="88" t="s">
        <v>313</v>
      </c>
      <c r="O9" s="36"/>
      <c r="P9" s="104" t="s">
        <v>313</v>
      </c>
      <c r="Q9" s="17"/>
      <c r="R9" s="117" t="s">
        <v>584</v>
      </c>
    </row>
    <row r="10" spans="1:18">
      <c r="A10" s="20"/>
      <c r="B10" s="21"/>
      <c r="C10" s="89" t="s">
        <v>297</v>
      </c>
      <c r="D10" s="90" t="s">
        <v>318</v>
      </c>
      <c r="E10" s="91"/>
      <c r="F10" s="92" t="s">
        <v>318</v>
      </c>
      <c r="G10" s="92" t="s">
        <v>318</v>
      </c>
      <c r="H10" s="93" t="s">
        <v>318</v>
      </c>
      <c r="I10" s="92"/>
      <c r="J10" s="92" t="s">
        <v>318</v>
      </c>
      <c r="K10" s="92"/>
      <c r="L10" s="92" t="s">
        <v>318</v>
      </c>
      <c r="M10" s="92" t="s">
        <v>318</v>
      </c>
      <c r="N10" s="88" t="s">
        <v>318</v>
      </c>
      <c r="O10" s="36"/>
      <c r="P10" s="104" t="s">
        <v>318</v>
      </c>
      <c r="Q10" s="17"/>
      <c r="R10" s="117" t="s">
        <v>587</v>
      </c>
    </row>
    <row r="11" spans="1:18">
      <c r="A11" s="20"/>
      <c r="B11" s="21"/>
      <c r="C11" s="89" t="s">
        <v>298</v>
      </c>
      <c r="D11" s="90" t="s">
        <v>331</v>
      </c>
      <c r="E11" s="91"/>
      <c r="F11" s="92" t="s">
        <v>333</v>
      </c>
      <c r="G11" s="92" t="s">
        <v>333</v>
      </c>
      <c r="H11" s="93" t="s">
        <v>333</v>
      </c>
      <c r="I11" s="92"/>
      <c r="J11" s="92" t="s">
        <v>333</v>
      </c>
      <c r="K11" s="92"/>
      <c r="L11" s="92" t="s">
        <v>333</v>
      </c>
      <c r="M11" s="92" t="s">
        <v>333</v>
      </c>
      <c r="N11" s="88" t="s">
        <v>333</v>
      </c>
      <c r="O11" s="36"/>
      <c r="P11" s="104" t="s">
        <v>331</v>
      </c>
      <c r="Q11" s="17"/>
      <c r="R11" s="117" t="s">
        <v>585</v>
      </c>
    </row>
    <row r="12" spans="1:18">
      <c r="A12" s="20"/>
      <c r="B12" s="21"/>
      <c r="C12" s="94" t="s">
        <v>299</v>
      </c>
      <c r="D12" s="95" t="s">
        <v>334</v>
      </c>
      <c r="E12" s="96"/>
      <c r="F12" s="82" t="s">
        <v>335</v>
      </c>
      <c r="G12" s="82" t="s">
        <v>334</v>
      </c>
      <c r="H12" s="83" t="s">
        <v>335</v>
      </c>
      <c r="I12" s="82"/>
      <c r="J12" s="82" t="s">
        <v>334</v>
      </c>
      <c r="K12" s="82"/>
      <c r="L12" s="82" t="s">
        <v>334</v>
      </c>
      <c r="M12" s="82" t="s">
        <v>335</v>
      </c>
      <c r="N12" s="84" t="s">
        <v>334</v>
      </c>
      <c r="O12" s="36"/>
      <c r="P12" s="104" t="s">
        <v>335</v>
      </c>
      <c r="Q12" s="17"/>
      <c r="R12" s="117" t="s">
        <v>594</v>
      </c>
    </row>
    <row r="13" spans="1:18">
      <c r="A13" s="20"/>
      <c r="B13" s="21"/>
      <c r="C13" s="89" t="s">
        <v>300</v>
      </c>
      <c r="D13" s="97" t="s">
        <v>323</v>
      </c>
      <c r="E13" s="98"/>
      <c r="F13" s="92" t="s">
        <v>323</v>
      </c>
      <c r="G13" s="92" t="s">
        <v>323</v>
      </c>
      <c r="H13" s="93" t="s">
        <v>323</v>
      </c>
      <c r="I13" s="92"/>
      <c r="J13" s="92" t="s">
        <v>322</v>
      </c>
      <c r="K13" s="92"/>
      <c r="L13" s="92" t="s">
        <v>322</v>
      </c>
      <c r="M13" s="92" t="s">
        <v>322</v>
      </c>
      <c r="N13" s="88" t="s">
        <v>322</v>
      </c>
      <c r="O13" s="36"/>
      <c r="P13" s="104" t="s">
        <v>322</v>
      </c>
      <c r="Q13" s="17"/>
      <c r="R13" s="117" t="s">
        <v>586</v>
      </c>
    </row>
    <row r="14" spans="1:18">
      <c r="A14" s="20"/>
      <c r="B14" s="21"/>
      <c r="C14" s="89" t="s">
        <v>301</v>
      </c>
      <c r="D14" s="97" t="s">
        <v>328</v>
      </c>
      <c r="E14" s="98"/>
      <c r="F14" s="92" t="s">
        <v>328</v>
      </c>
      <c r="G14" s="92" t="s">
        <v>328</v>
      </c>
      <c r="H14" s="93" t="s">
        <v>338</v>
      </c>
      <c r="I14" s="92"/>
      <c r="J14" s="92" t="s">
        <v>328</v>
      </c>
      <c r="K14" s="92"/>
      <c r="L14" s="92" t="s">
        <v>328</v>
      </c>
      <c r="M14" s="92" t="s">
        <v>328</v>
      </c>
      <c r="N14" s="88" t="s">
        <v>328</v>
      </c>
      <c r="O14" s="36"/>
      <c r="P14" s="104" t="s">
        <v>328</v>
      </c>
      <c r="Q14" s="17"/>
      <c r="R14" s="117" t="s">
        <v>588</v>
      </c>
    </row>
    <row r="15" spans="1:18">
      <c r="A15" s="20"/>
      <c r="B15" s="21"/>
      <c r="C15" s="89" t="s">
        <v>107</v>
      </c>
      <c r="D15" s="97" t="s">
        <v>327</v>
      </c>
      <c r="E15" s="98"/>
      <c r="F15" s="92" t="s">
        <v>327</v>
      </c>
      <c r="G15" s="92" t="s">
        <v>327</v>
      </c>
      <c r="H15" s="93" t="s">
        <v>327</v>
      </c>
      <c r="I15" s="92"/>
      <c r="J15" s="92" t="s">
        <v>327</v>
      </c>
      <c r="K15" s="92"/>
      <c r="L15" s="92" t="s">
        <v>327</v>
      </c>
      <c r="M15" s="92" t="s">
        <v>327</v>
      </c>
      <c r="N15" s="88" t="s">
        <v>327</v>
      </c>
      <c r="O15" s="36"/>
      <c r="P15" s="104" t="s">
        <v>325</v>
      </c>
      <c r="Q15" s="17"/>
      <c r="R15" s="117" t="s">
        <v>591</v>
      </c>
    </row>
    <row r="16" spans="1:18">
      <c r="A16" s="20"/>
      <c r="B16" s="21"/>
      <c r="C16" s="89" t="s">
        <v>302</v>
      </c>
      <c r="D16" s="97" t="s">
        <v>326</v>
      </c>
      <c r="E16" s="98"/>
      <c r="F16" s="92" t="s">
        <v>326</v>
      </c>
      <c r="G16" s="92" t="s">
        <v>326</v>
      </c>
      <c r="H16" s="93" t="s">
        <v>337</v>
      </c>
      <c r="I16" s="92"/>
      <c r="J16" s="92" t="s">
        <v>326</v>
      </c>
      <c r="K16" s="92"/>
      <c r="L16" s="92" t="s">
        <v>337</v>
      </c>
      <c r="M16" s="92" t="s">
        <v>326</v>
      </c>
      <c r="N16" s="88" t="s">
        <v>326</v>
      </c>
      <c r="O16" s="36"/>
      <c r="P16" s="104" t="s">
        <v>326</v>
      </c>
      <c r="Q16" s="17"/>
      <c r="R16" s="117" t="s">
        <v>592</v>
      </c>
    </row>
    <row r="17" spans="1:18">
      <c r="A17" s="20"/>
      <c r="B17" s="21"/>
      <c r="C17" s="89" t="s">
        <v>56</v>
      </c>
      <c r="D17" s="97" t="s">
        <v>312</v>
      </c>
      <c r="E17" s="98"/>
      <c r="F17" s="92" t="s">
        <v>312</v>
      </c>
      <c r="G17" s="92" t="s">
        <v>312</v>
      </c>
      <c r="H17" s="93" t="s">
        <v>312</v>
      </c>
      <c r="I17" s="92"/>
      <c r="J17" s="92" t="s">
        <v>312</v>
      </c>
      <c r="K17" s="92"/>
      <c r="L17" s="92" t="s">
        <v>312</v>
      </c>
      <c r="M17" s="92" t="s">
        <v>312</v>
      </c>
      <c r="N17" s="88" t="s">
        <v>312</v>
      </c>
      <c r="O17" s="36"/>
      <c r="P17" s="104" t="s">
        <v>312</v>
      </c>
      <c r="Q17" s="17"/>
      <c r="R17" s="117" t="s">
        <v>593</v>
      </c>
    </row>
    <row r="18" spans="1:18">
      <c r="A18" s="20"/>
      <c r="B18" s="21"/>
      <c r="C18" s="89" t="s">
        <v>303</v>
      </c>
      <c r="D18" s="97" t="s">
        <v>317</v>
      </c>
      <c r="E18" s="98"/>
      <c r="F18" s="92" t="s">
        <v>317</v>
      </c>
      <c r="G18" s="92" t="s">
        <v>317</v>
      </c>
      <c r="H18" s="93" t="s">
        <v>317</v>
      </c>
      <c r="I18" s="92"/>
      <c r="J18" s="92" t="s">
        <v>317</v>
      </c>
      <c r="K18" s="92"/>
      <c r="L18" s="92" t="s">
        <v>317</v>
      </c>
      <c r="M18" s="92" t="s">
        <v>317</v>
      </c>
      <c r="N18" s="88" t="s">
        <v>317</v>
      </c>
      <c r="O18" s="36"/>
      <c r="P18" s="104" t="s">
        <v>329</v>
      </c>
      <c r="Q18" s="17"/>
      <c r="R18" s="117" t="s">
        <v>589</v>
      </c>
    </row>
    <row r="19" spans="1:18">
      <c r="A19" s="20"/>
      <c r="B19" s="21"/>
      <c r="C19" s="89" t="s">
        <v>0</v>
      </c>
      <c r="D19" s="97" t="s">
        <v>309</v>
      </c>
      <c r="E19" s="98"/>
      <c r="F19" s="92" t="s">
        <v>309</v>
      </c>
      <c r="G19" s="92" t="s">
        <v>309</v>
      </c>
      <c r="H19" s="93" t="s">
        <v>309</v>
      </c>
      <c r="I19" s="92"/>
      <c r="J19" s="92" t="s">
        <v>309</v>
      </c>
      <c r="K19" s="92"/>
      <c r="L19" s="92" t="s">
        <v>309</v>
      </c>
      <c r="M19" s="92" t="s">
        <v>309</v>
      </c>
      <c r="N19" s="88" t="s">
        <v>309</v>
      </c>
      <c r="O19" s="36"/>
      <c r="P19" s="104" t="s">
        <v>309</v>
      </c>
      <c r="Q19" s="17"/>
      <c r="R19" s="117" t="s">
        <v>590</v>
      </c>
    </row>
    <row r="20" spans="1:18">
      <c r="A20" s="20"/>
      <c r="B20" s="21"/>
      <c r="C20" s="89" t="s">
        <v>304</v>
      </c>
      <c r="D20" s="97" t="s">
        <v>307</v>
      </c>
      <c r="E20" s="98"/>
      <c r="F20" s="92" t="s">
        <v>314</v>
      </c>
      <c r="G20" s="92" t="s">
        <v>314</v>
      </c>
      <c r="H20" s="93" t="s">
        <v>314</v>
      </c>
      <c r="I20" s="92"/>
      <c r="J20" s="92" t="s">
        <v>314</v>
      </c>
      <c r="K20" s="92"/>
      <c r="L20" s="92" t="s">
        <v>314</v>
      </c>
      <c r="M20" s="92" t="s">
        <v>307</v>
      </c>
      <c r="N20" s="88" t="s">
        <v>307</v>
      </c>
      <c r="O20" s="36"/>
      <c r="P20" s="104" t="s">
        <v>307</v>
      </c>
      <c r="Q20" s="17"/>
      <c r="R20" s="117" t="s">
        <v>595</v>
      </c>
    </row>
    <row r="21" spans="1:18">
      <c r="A21" s="20"/>
      <c r="B21" s="21"/>
      <c r="C21" s="89" t="s">
        <v>305</v>
      </c>
      <c r="D21" s="97" t="s">
        <v>320</v>
      </c>
      <c r="E21" s="98"/>
      <c r="F21" s="92" t="s">
        <v>320</v>
      </c>
      <c r="G21" s="92" t="s">
        <v>320</v>
      </c>
      <c r="H21" s="93" t="s">
        <v>320</v>
      </c>
      <c r="I21" s="92"/>
      <c r="J21" s="92" t="s">
        <v>320</v>
      </c>
      <c r="K21" s="92"/>
      <c r="L21" s="92" t="s">
        <v>320</v>
      </c>
      <c r="M21" s="92" t="s">
        <v>320</v>
      </c>
      <c r="N21" s="88" t="s">
        <v>320</v>
      </c>
      <c r="O21" s="36"/>
      <c r="P21" s="104" t="s">
        <v>320</v>
      </c>
      <c r="Q21" s="17"/>
      <c r="R21" s="117" t="s">
        <v>596</v>
      </c>
    </row>
    <row r="22" spans="1:18" ht="16" thickBot="1">
      <c r="A22" s="20"/>
      <c r="B22" s="21"/>
      <c r="C22" s="99" t="s">
        <v>306</v>
      </c>
      <c r="D22" s="100" t="s">
        <v>330</v>
      </c>
      <c r="E22" s="101"/>
      <c r="F22" s="102" t="s">
        <v>330</v>
      </c>
      <c r="G22" s="102" t="s">
        <v>330</v>
      </c>
      <c r="H22" s="100" t="s">
        <v>330</v>
      </c>
      <c r="I22" s="102"/>
      <c r="J22" s="102" t="s">
        <v>330</v>
      </c>
      <c r="K22" s="102"/>
      <c r="L22" s="102" t="s">
        <v>330</v>
      </c>
      <c r="M22" s="102" t="s">
        <v>330</v>
      </c>
      <c r="N22" s="103" t="s">
        <v>330</v>
      </c>
      <c r="O22" s="36"/>
      <c r="P22" s="105" t="s">
        <v>324</v>
      </c>
      <c r="Q22" s="17"/>
      <c r="R22" s="118" t="s">
        <v>597</v>
      </c>
    </row>
    <row r="23" spans="1:18" ht="16" thickTop="1">
      <c r="A23" s="20"/>
      <c r="B23" s="6"/>
      <c r="C23" s="37"/>
      <c r="D23" s="38"/>
      <c r="E23" s="39"/>
      <c r="F23" s="38"/>
      <c r="G23" s="38"/>
      <c r="H23" s="40"/>
      <c r="I23" s="38"/>
      <c r="J23" s="38"/>
      <c r="K23" s="38"/>
      <c r="L23" s="38"/>
      <c r="M23" s="38"/>
      <c r="N23" s="38"/>
      <c r="O23" s="36"/>
      <c r="P23" s="41" t="s">
        <v>16</v>
      </c>
      <c r="Q23" s="17"/>
      <c r="R23" s="2"/>
    </row>
    <row r="24" spans="1:18">
      <c r="A24" s="20"/>
      <c r="B24" s="6"/>
      <c r="C24" s="42" t="s">
        <v>15</v>
      </c>
      <c r="D24" s="82">
        <v>52</v>
      </c>
      <c r="E24" s="107"/>
      <c r="F24" s="82">
        <v>48</v>
      </c>
      <c r="G24" s="82">
        <v>43</v>
      </c>
      <c r="H24" s="83">
        <v>47</v>
      </c>
      <c r="I24" s="82"/>
      <c r="J24" s="82">
        <v>48</v>
      </c>
      <c r="K24" s="82"/>
      <c r="L24" s="82">
        <v>55</v>
      </c>
      <c r="M24" s="82">
        <v>47</v>
      </c>
      <c r="N24" s="82">
        <v>50</v>
      </c>
      <c r="O24" s="36"/>
      <c r="P24" s="106">
        <v>51</v>
      </c>
      <c r="Q24" s="17"/>
      <c r="R24" s="2"/>
    </row>
    <row r="25" spans="1:18">
      <c r="A25" s="20"/>
      <c r="B25" s="6"/>
      <c r="C25" s="43"/>
      <c r="D25" s="38"/>
      <c r="E25" s="39"/>
      <c r="F25" s="38"/>
      <c r="G25" s="38"/>
      <c r="H25" s="40"/>
      <c r="I25" s="38"/>
      <c r="J25" s="38"/>
      <c r="K25" s="38"/>
      <c r="L25" s="38"/>
      <c r="M25" s="38"/>
      <c r="N25" s="38"/>
      <c r="O25" s="36"/>
      <c r="P25" s="36"/>
      <c r="Q25" s="17"/>
      <c r="R25" s="2"/>
    </row>
    <row r="26" spans="1:18">
      <c r="A26" s="20"/>
      <c r="B26" s="6"/>
      <c r="C26" s="44" t="s">
        <v>13</v>
      </c>
      <c r="D26" s="45" t="str" cm="1">
        <f t="array" ref="D26">SUMPRODUCT(--(D7:D22=$P$7:$P$22), --($P$7:$P$22&lt;&gt;"")) &amp; "-" &amp; SUMPRODUCT(--(D7:D22&lt;&gt;$P$7:$P$22), --($P$7:$P$22&lt;&gt;""))</f>
        <v>10-6</v>
      </c>
      <c r="E26" s="46" t="str" cm="1">
        <f t="array" ref="E26">SUMPRODUCT(--(E7:E22=$P$7:$P$22), --($P$7:$P$22&lt;&gt;"")) &amp; "-" &amp; SUMPRODUCT(--(E7:E22&lt;&gt;$P$7:$P$22), --($P$7:$P$22&lt;&gt;""))</f>
        <v>0-16</v>
      </c>
      <c r="F26" s="45" t="str" cm="1">
        <f t="array" ref="F26">SUMPRODUCT(--(F7:F22=$P$7:$P$22), --($P$7:$P$22&lt;&gt;"")) &amp; "-" &amp; SUMPRODUCT(--(F7:F22&lt;&gt;$P$7:$P$22), --($P$7:$P$22&lt;&gt;""))</f>
        <v>10-6</v>
      </c>
      <c r="G26" s="45" t="str" cm="1">
        <f t="array" ref="G26">SUMPRODUCT(--(G7:G22=$P$7:$P$22), --($P$7:$P$22&lt;&gt;"")) &amp; "-" &amp; SUMPRODUCT(--(G7:G22&lt;&gt;$P$7:$P$22), --($P$7:$P$22&lt;&gt;""))</f>
        <v>8-8</v>
      </c>
      <c r="H26" s="47" t="str" cm="1">
        <f t="array" ref="H26">SUMPRODUCT(--(H7:H22=$P$7:$P$22), --($P$7:$P$22&lt;&gt;"")) &amp; "-" &amp; SUMPRODUCT(--(H7:H22&lt;&gt;$P$7:$P$22), --($P$7:$P$22&lt;&gt;""))</f>
        <v>6-10</v>
      </c>
      <c r="I26" s="45" t="str" cm="1">
        <f t="array" ref="I26">SUMPRODUCT(--(I7:I22=$P$7:$P$22), --($P$7:$P$22&lt;&gt;"")) &amp; "-" &amp; SUMPRODUCT(--(I7:I22&lt;&gt;$P$7:$P$22), --($P$7:$P$22&lt;&gt;""))</f>
        <v>0-16</v>
      </c>
      <c r="J26" s="45" t="str" cm="1">
        <f t="array" ref="J26">SUMPRODUCT(--(J7:J22=$P$7:$P$22), --($P$7:$P$22&lt;&gt;"")) &amp; "-" &amp; SUMPRODUCT(--(J7:J22&lt;&gt;$P$7:$P$22), --($P$7:$P$22&lt;&gt;""))</f>
        <v>9-7</v>
      </c>
      <c r="K26" s="45" t="str" cm="1">
        <f t="array" ref="K26">SUMPRODUCT(--(K7:K22=$P$7:$P$22), --($P$7:$P$22&lt;&gt;"")) &amp; "-" &amp; SUMPRODUCT(--(K7:K22&lt;&gt;$P$7:$P$22), --($P$7:$P$22&lt;&gt;""))</f>
        <v>0-16</v>
      </c>
      <c r="L26" s="45" t="str" cm="1">
        <f t="array" ref="L26">SUMPRODUCT(--(L7:L22=$P$7:$P$22), --($P$7:$P$22&lt;&gt;"")) &amp; "-" &amp; SUMPRODUCT(--(L7:L22&lt;&gt;$P$7:$P$22), --($P$7:$P$22&lt;&gt;""))</f>
        <v>8-8</v>
      </c>
      <c r="M26" s="45" t="str" cm="1">
        <f t="array" ref="M26">SUMPRODUCT(--(M7:M22=$P$7:$P$22), --($P$7:$P$22&lt;&gt;"")) &amp; "-" &amp; SUMPRODUCT(--(M7:M22&lt;&gt;$P$7:$P$22), --($P$7:$P$22&lt;&gt;""))</f>
        <v>11-5</v>
      </c>
      <c r="N26" s="45" t="str" cm="1">
        <f t="array" ref="N26">SUMPRODUCT(--(N7:N22=$P$7:$P$22), --($P$7:$P$22&lt;&gt;"")) &amp; "-" &amp; SUMPRODUCT(--(N7:N22&lt;&gt;$P$7:$P$22), --($P$7:$P$22&lt;&gt;""))</f>
        <v>10-6</v>
      </c>
      <c r="O26" s="36"/>
      <c r="P26" s="36"/>
      <c r="Q26" s="17"/>
      <c r="R26" s="2"/>
    </row>
    <row r="27" spans="1:18">
      <c r="A27" s="20"/>
      <c r="B27" s="6"/>
      <c r="C27" s="7"/>
      <c r="D27" s="11">
        <f>VALUE(LEFT(D26,FIND("-",D26)-1)) - VALUE(MID(D26,FIND("-",D26)+1,LEN(D26)-FIND("-",D26)))</f>
        <v>4</v>
      </c>
      <c r="E27" s="11">
        <f t="shared" ref="E27:N27" si="0">VALUE(LEFT(E26,FIND("-",E26)-1)) - VALUE(MID(E26,FIND("-",E26)+1,LEN(E26)-FIND("-",E26)))</f>
        <v>-16</v>
      </c>
      <c r="F27" s="11">
        <f t="shared" si="0"/>
        <v>4</v>
      </c>
      <c r="G27" s="11">
        <f t="shared" si="0"/>
        <v>0</v>
      </c>
      <c r="H27" s="11">
        <f t="shared" si="0"/>
        <v>-4</v>
      </c>
      <c r="I27" s="11">
        <f t="shared" si="0"/>
        <v>-16</v>
      </c>
      <c r="J27" s="11">
        <f t="shared" si="0"/>
        <v>2</v>
      </c>
      <c r="K27" s="11">
        <f t="shared" si="0"/>
        <v>-16</v>
      </c>
      <c r="L27" s="11">
        <f t="shared" si="0"/>
        <v>0</v>
      </c>
      <c r="M27" s="11">
        <f t="shared" si="0"/>
        <v>6</v>
      </c>
      <c r="N27" s="11">
        <f t="shared" si="0"/>
        <v>4</v>
      </c>
      <c r="O27" s="6"/>
      <c r="P27" s="6"/>
      <c r="Q27" s="17"/>
      <c r="R27" s="2"/>
    </row>
    <row r="28" spans="1:18" ht="24" customHeight="1">
      <c r="A28" s="20"/>
      <c r="B28" s="12"/>
      <c r="C28" s="199" t="s">
        <v>17</v>
      </c>
      <c r="D28" s="200"/>
      <c r="E28" s="201" t="str" cm="1">
        <f t="array" ref="E28">IF(P24="", "",
   _xlfn.LET(
      _xlpm.scores, D27:N27,
      _xlpm.names, D5:N5,
      _xlpm.tiebreaks, D24:N24,
      _xlpm.guesses, D26:N26,
      _xlpm.maxScore, MAX(_xlpm.scores),
      _xlpm.topScorers, IF(_xlpm.scores=_xlpm.maxScore, 1, 0),
      _xlpm.tiebreakDiffs, IF(_xlpm.topScorers, ABS(_xlpm.tiebreaks - P24), ""),
      _xlpm.minDiff, MIN(IF(_xlpm.tiebreakDiffs&lt;&gt;"", _xlpm.tiebreakDiffs)),
      _xlpm.winners, IF((_xlpm.scores=_xlpm.maxScore)*(ABS(_xlpm.tiebreaks - P24)=_xlpm.minDiff), _xlpm.names, ""),
      _xlpm.guessMatch, INDEX(_xlpm.guesses, MATCH(1, (_xlpm.scores=_xlpm.maxScore)*(ABS(_xlpm.tiebreaks - P24)=_xlpm.minDiff), 0)),
      _xlpm.winnerList, _xlfn.TEXTJOIN(", ", TRUE, _xlpm.winners),
      IF(COUNTA(_xlfn._xlws.FILTER(_xlpm.winners, _xlpm.winners&lt;&gt;""))=1,
         _xlpm.winnerList &amp; " (" &amp; _xlpm.guessMatch &amp; ")",
         _xlpm.winnerList
      )
   )
)</f>
        <v>Lisa (11-5)</v>
      </c>
      <c r="F28" s="202"/>
      <c r="G28" s="203"/>
      <c r="H28" s="6"/>
      <c r="I28" s="6"/>
      <c r="J28" s="6"/>
      <c r="K28" s="6"/>
      <c r="L28" s="6"/>
      <c r="M28" s="6"/>
      <c r="N28" s="6"/>
      <c r="O28" s="6"/>
      <c r="P28" s="6"/>
      <c r="Q28" s="17"/>
    </row>
    <row r="29" spans="1:18" ht="15" customHeight="1" thickBot="1">
      <c r="A29" s="20"/>
      <c r="B29" s="22"/>
      <c r="C29" s="32"/>
      <c r="D29" s="32"/>
      <c r="E29" s="33"/>
      <c r="F29" s="33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5"/>
    </row>
    <row r="30" spans="1:18" ht="16" thickTop="1">
      <c r="D30" s="1"/>
    </row>
    <row r="35" spans="9:9" ht="16" thickBot="1"/>
    <row r="36" spans="9:9" ht="16" thickTop="1">
      <c r="I36" s="13"/>
    </row>
  </sheetData>
  <sheetProtection selectLockedCells="1"/>
  <customSheetViews>
    <customSheetView guid="{096EED88-6BAE-D941-AE0E-0C5B75B09829}">
      <selection activeCell="E29" sqref="E29"/>
      <pageMargins left="0.7" right="0.7" top="0.75" bottom="0.75" header="0.3" footer="0.3"/>
      <pageSetup orientation="portrait" r:id="rId1"/>
    </customSheetView>
  </customSheetViews>
  <mergeCells count="17">
    <mergeCell ref="R5:R6"/>
    <mergeCell ref="C28:D28"/>
    <mergeCell ref="E28:G28"/>
    <mergeCell ref="C3:P3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  <mergeCell ref="N5:N6"/>
    <mergeCell ref="P5:P6"/>
  </mergeCells>
  <conditionalFormatting sqref="D7:N22">
    <cfRule type="expression" dxfId="7" priority="3">
      <formula>AND($P7=D7, $P7&lt;&gt;"")</formula>
    </cfRule>
    <cfRule type="expression" dxfId="6" priority="4">
      <formula>AND($P7&lt;&gt;D7, $P7&lt;&gt;"")</formula>
    </cfRule>
  </conditionalFormatting>
  <conditionalFormatting sqref="D26:N26">
    <cfRule type="expression" dxfId="5" priority="1">
      <formula>AND(--LEFT(D26,FIND("-",D26)-1) = MAX(--LEFT($D$26:$N$26,FIND("-",$D$26:$N$26)-1)), COUNTIF($D$26:$N$26, MAX(--LEFT($D$26:$N$26,FIND("-",$D$26:$N$26)-1)) &amp; "-*") &gt; 1)</formula>
    </cfRule>
    <cfRule type="expression" dxfId="4" priority="2">
      <formula>AND(--LEFT(D26,FIND("-",D26)-1) = MAX(--LEFT($D$26:$N$26,FIND("-",$D$26:$N$26)-1)), COUNTIF($D$26:$N$26, MAX(--LEFT($D$26:$N$26,FIND("-",$D$26:$N$26)-1)) &amp; "-*") = 1)</formula>
    </cfRule>
  </conditionalFormatting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5" name="Button 1">
              <controlPr defaultSize="0" print="0" autoFill="0" autoPict="0" macro="[0]!UpdateCurrentSheet">
                <anchor moveWithCells="1" sizeWithCells="1">
                  <from>
                    <xdr:col>17</xdr:col>
                    <xdr:colOff>571500</xdr:colOff>
                    <xdr:row>2</xdr:row>
                    <xdr:rowOff>50800</xdr:rowOff>
                  </from>
                  <to>
                    <xdr:col>17</xdr:col>
                    <xdr:colOff>1219200</xdr:colOff>
                    <xdr:row>2</xdr:row>
                    <xdr:rowOff>368300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A32F2-27E3-4E19-A655-22E3851EBBA7}">
  <sheetPr codeName="Sheet16"/>
  <dimension ref="A2:R36"/>
  <sheetViews>
    <sheetView tabSelected="1" zoomScaleNormal="100" workbookViewId="0">
      <selection activeCell="R27" sqref="R27"/>
    </sheetView>
  </sheetViews>
  <sheetFormatPr baseColWidth="10" defaultColWidth="8.83203125" defaultRowHeight="15"/>
  <cols>
    <col min="2" max="2" width="1.6640625" customWidth="1"/>
    <col min="3" max="3" width="11.6640625" style="1" bestFit="1" customWidth="1"/>
    <col min="4" max="14" width="13.1640625" customWidth="1"/>
    <col min="15" max="15" width="1.6640625" customWidth="1"/>
    <col min="16" max="16" width="15.5" bestFit="1" customWidth="1"/>
    <col min="17" max="17" width="1.6640625" customWidth="1"/>
    <col min="18" max="18" width="24.83203125" customWidth="1"/>
    <col min="19" max="19" width="1.6640625" customWidth="1"/>
  </cols>
  <sheetData>
    <row r="2" spans="1:18" ht="15" customHeight="1" thickBot="1">
      <c r="B2" s="31"/>
      <c r="C2" s="30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</row>
    <row r="3" spans="1:18" ht="32.25" customHeight="1" thickBot="1">
      <c r="B3" s="27"/>
      <c r="C3" s="186" t="s">
        <v>92</v>
      </c>
      <c r="D3" s="186"/>
      <c r="E3" s="186"/>
      <c r="F3" s="186"/>
      <c r="G3" s="186"/>
      <c r="H3" s="186"/>
      <c r="I3" s="186"/>
      <c r="J3" s="186"/>
      <c r="K3" s="186"/>
      <c r="L3" s="186"/>
      <c r="M3" s="186"/>
      <c r="N3" s="186"/>
      <c r="O3" s="186"/>
      <c r="P3" s="186"/>
      <c r="Q3" s="28"/>
    </row>
    <row r="4" spans="1:18" ht="15" customHeight="1" thickBot="1">
      <c r="A4" s="20"/>
      <c r="B4" s="19"/>
      <c r="C4" s="14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6"/>
      <c r="P4" s="6"/>
      <c r="Q4" s="16"/>
      <c r="R4" s="2"/>
    </row>
    <row r="5" spans="1:18" ht="23.25" customHeight="1" thickTop="1">
      <c r="A5" s="20"/>
      <c r="B5" s="6"/>
      <c r="C5" s="187" t="s">
        <v>18</v>
      </c>
      <c r="D5" s="189" t="s">
        <v>14</v>
      </c>
      <c r="E5" s="191" t="s">
        <v>2</v>
      </c>
      <c r="F5" s="193" t="s">
        <v>3</v>
      </c>
      <c r="G5" s="193" t="s">
        <v>4</v>
      </c>
      <c r="H5" s="193" t="s">
        <v>5</v>
      </c>
      <c r="I5" s="189" t="s">
        <v>6</v>
      </c>
      <c r="J5" s="189" t="s">
        <v>7</v>
      </c>
      <c r="K5" s="189" t="s">
        <v>8</v>
      </c>
      <c r="L5" s="191" t="s">
        <v>9</v>
      </c>
      <c r="M5" s="193" t="s">
        <v>10</v>
      </c>
      <c r="N5" s="189" t="s">
        <v>11</v>
      </c>
      <c r="O5" s="6"/>
      <c r="P5" s="195" t="s">
        <v>12</v>
      </c>
      <c r="Q5" s="17"/>
      <c r="R5" s="204" t="s">
        <v>389</v>
      </c>
    </row>
    <row r="6" spans="1:18" ht="8" customHeight="1" thickBot="1">
      <c r="A6" s="20"/>
      <c r="B6" s="6"/>
      <c r="C6" s="188"/>
      <c r="D6" s="190"/>
      <c r="E6" s="192"/>
      <c r="F6" s="194"/>
      <c r="G6" s="194"/>
      <c r="H6" s="194"/>
      <c r="I6" s="190"/>
      <c r="J6" s="190"/>
      <c r="K6" s="190"/>
      <c r="L6" s="192"/>
      <c r="M6" s="194"/>
      <c r="N6" s="190"/>
      <c r="O6" s="6"/>
      <c r="P6" s="196"/>
      <c r="Q6" s="17"/>
      <c r="R6" s="205"/>
    </row>
    <row r="7" spans="1:18" ht="16" thickTop="1">
      <c r="A7" s="20"/>
      <c r="B7" s="21"/>
      <c r="C7" s="81" t="s">
        <v>20</v>
      </c>
      <c r="D7" s="51" t="s">
        <v>324</v>
      </c>
      <c r="E7" s="52" t="s">
        <v>326</v>
      </c>
      <c r="F7" s="53" t="s">
        <v>324</v>
      </c>
      <c r="G7" s="82" t="s">
        <v>324</v>
      </c>
      <c r="H7" s="83" t="s">
        <v>324</v>
      </c>
      <c r="I7" s="82" t="s">
        <v>324</v>
      </c>
      <c r="J7" s="82" t="s">
        <v>324</v>
      </c>
      <c r="K7" s="82" t="s">
        <v>324</v>
      </c>
      <c r="L7" s="82" t="s">
        <v>326</v>
      </c>
      <c r="M7" s="82" t="s">
        <v>326</v>
      </c>
      <c r="N7" s="84" t="s">
        <v>324</v>
      </c>
      <c r="O7" s="36"/>
      <c r="P7" s="56" t="s">
        <v>324</v>
      </c>
      <c r="Q7" s="17"/>
      <c r="R7" s="117" t="s">
        <v>598</v>
      </c>
    </row>
    <row r="8" spans="1:18">
      <c r="A8" s="20"/>
      <c r="B8" s="21"/>
      <c r="C8" s="85" t="s">
        <v>66</v>
      </c>
      <c r="D8" s="57" t="s">
        <v>314</v>
      </c>
      <c r="E8" s="58" t="s">
        <v>314</v>
      </c>
      <c r="F8" s="59" t="s">
        <v>314</v>
      </c>
      <c r="G8" s="86" t="s">
        <v>314</v>
      </c>
      <c r="H8" s="87" t="s">
        <v>314</v>
      </c>
      <c r="I8" s="86" t="s">
        <v>314</v>
      </c>
      <c r="J8" s="86" t="s">
        <v>314</v>
      </c>
      <c r="K8" s="86" t="s">
        <v>314</v>
      </c>
      <c r="L8" s="86" t="s">
        <v>314</v>
      </c>
      <c r="M8" s="86" t="s">
        <v>314</v>
      </c>
      <c r="N8" s="88" t="s">
        <v>314</v>
      </c>
      <c r="O8" s="36"/>
      <c r="P8" s="62" t="s">
        <v>314</v>
      </c>
      <c r="Q8" s="17"/>
      <c r="R8" s="117" t="s">
        <v>607</v>
      </c>
    </row>
    <row r="9" spans="1:18">
      <c r="A9" s="20"/>
      <c r="B9" s="21"/>
      <c r="C9" s="89" t="s">
        <v>98</v>
      </c>
      <c r="D9" s="90" t="s">
        <v>315</v>
      </c>
      <c r="E9" s="91" t="s">
        <v>315</v>
      </c>
      <c r="F9" s="92" t="s">
        <v>315</v>
      </c>
      <c r="G9" s="92" t="s">
        <v>315</v>
      </c>
      <c r="H9" s="93" t="s">
        <v>315</v>
      </c>
      <c r="I9" s="92" t="s">
        <v>315</v>
      </c>
      <c r="J9" s="92" t="s">
        <v>315</v>
      </c>
      <c r="K9" s="92" t="s">
        <v>315</v>
      </c>
      <c r="L9" s="92" t="s">
        <v>315</v>
      </c>
      <c r="M9" s="92" t="s">
        <v>315</v>
      </c>
      <c r="N9" s="88" t="s">
        <v>321</v>
      </c>
      <c r="O9" s="36"/>
      <c r="P9" s="104" t="s">
        <v>321</v>
      </c>
      <c r="Q9" s="17"/>
      <c r="R9" s="117" t="s">
        <v>611</v>
      </c>
    </row>
    <row r="10" spans="1:18">
      <c r="A10" s="20"/>
      <c r="B10" s="21"/>
      <c r="C10" s="89" t="s">
        <v>67</v>
      </c>
      <c r="D10" s="90" t="s">
        <v>318</v>
      </c>
      <c r="E10" s="91" t="s">
        <v>318</v>
      </c>
      <c r="F10" s="92" t="s">
        <v>325</v>
      </c>
      <c r="G10" s="92" t="s">
        <v>318</v>
      </c>
      <c r="H10" s="93" t="s">
        <v>318</v>
      </c>
      <c r="I10" s="92" t="s">
        <v>318</v>
      </c>
      <c r="J10" s="92" t="s">
        <v>318</v>
      </c>
      <c r="K10" s="92" t="s">
        <v>318</v>
      </c>
      <c r="L10" s="92" t="s">
        <v>318</v>
      </c>
      <c r="M10" s="92" t="s">
        <v>318</v>
      </c>
      <c r="N10" s="88" t="s">
        <v>318</v>
      </c>
      <c r="O10" s="36"/>
      <c r="P10" s="104" t="s">
        <v>325</v>
      </c>
      <c r="Q10" s="17"/>
      <c r="R10" s="117" t="s">
        <v>599</v>
      </c>
    </row>
    <row r="11" spans="1:18">
      <c r="A11" s="20"/>
      <c r="B11" s="21"/>
      <c r="C11" s="89" t="s">
        <v>34</v>
      </c>
      <c r="D11" s="90" t="s">
        <v>313</v>
      </c>
      <c r="E11" s="91" t="s">
        <v>313</v>
      </c>
      <c r="F11" s="92" t="s">
        <v>313</v>
      </c>
      <c r="G11" s="92" t="s">
        <v>313</v>
      </c>
      <c r="H11" s="93" t="s">
        <v>313</v>
      </c>
      <c r="I11" s="92" t="s">
        <v>313</v>
      </c>
      <c r="J11" s="92" t="s">
        <v>313</v>
      </c>
      <c r="K11" s="92" t="s">
        <v>313</v>
      </c>
      <c r="L11" s="92" t="s">
        <v>313</v>
      </c>
      <c r="M11" s="92" t="s">
        <v>313</v>
      </c>
      <c r="N11" s="88" t="s">
        <v>313</v>
      </c>
      <c r="O11" s="36"/>
      <c r="P11" s="104" t="s">
        <v>313</v>
      </c>
      <c r="Q11" s="17"/>
      <c r="R11" s="117" t="s">
        <v>612</v>
      </c>
    </row>
    <row r="12" spans="1:18">
      <c r="A12" s="20"/>
      <c r="B12" s="21"/>
      <c r="C12" s="94" t="s">
        <v>99</v>
      </c>
      <c r="D12" s="95" t="s">
        <v>316</v>
      </c>
      <c r="E12" s="96" t="s">
        <v>316</v>
      </c>
      <c r="F12" s="82" t="s">
        <v>334</v>
      </c>
      <c r="G12" s="82" t="s">
        <v>316</v>
      </c>
      <c r="H12" s="83" t="s">
        <v>316</v>
      </c>
      <c r="I12" s="82" t="s">
        <v>334</v>
      </c>
      <c r="J12" s="82" t="s">
        <v>316</v>
      </c>
      <c r="K12" s="82" t="s">
        <v>334</v>
      </c>
      <c r="L12" s="82" t="s">
        <v>316</v>
      </c>
      <c r="M12" s="82" t="s">
        <v>316</v>
      </c>
      <c r="N12" s="84" t="s">
        <v>316</v>
      </c>
      <c r="O12" s="36"/>
      <c r="P12" s="104" t="s">
        <v>334</v>
      </c>
      <c r="Q12" s="17"/>
      <c r="R12" s="117" t="s">
        <v>609</v>
      </c>
    </row>
    <row r="13" spans="1:18">
      <c r="A13" s="20"/>
      <c r="B13" s="21"/>
      <c r="C13" s="89" t="s">
        <v>144</v>
      </c>
      <c r="D13" s="97" t="s">
        <v>330</v>
      </c>
      <c r="E13" s="98" t="s">
        <v>330</v>
      </c>
      <c r="F13" s="92" t="s">
        <v>330</v>
      </c>
      <c r="G13" s="92" t="s">
        <v>330</v>
      </c>
      <c r="H13" s="93" t="s">
        <v>330</v>
      </c>
      <c r="I13" s="92" t="s">
        <v>319</v>
      </c>
      <c r="J13" s="92" t="s">
        <v>330</v>
      </c>
      <c r="K13" s="92" t="s">
        <v>330</v>
      </c>
      <c r="L13" s="92" t="s">
        <v>330</v>
      </c>
      <c r="M13" s="92" t="s">
        <v>330</v>
      </c>
      <c r="N13" s="88" t="s">
        <v>330</v>
      </c>
      <c r="O13" s="36"/>
      <c r="P13" s="104" t="s">
        <v>330</v>
      </c>
      <c r="Q13" s="17"/>
      <c r="R13" s="117" t="s">
        <v>606</v>
      </c>
    </row>
    <row r="14" spans="1:18">
      <c r="A14" s="20"/>
      <c r="B14" s="21"/>
      <c r="C14" s="89" t="s">
        <v>48</v>
      </c>
      <c r="D14" s="97" t="s">
        <v>332</v>
      </c>
      <c r="E14" s="98" t="s">
        <v>332</v>
      </c>
      <c r="F14" s="92" t="s">
        <v>332</v>
      </c>
      <c r="G14" s="92" t="s">
        <v>333</v>
      </c>
      <c r="H14" s="93" t="s">
        <v>332</v>
      </c>
      <c r="I14" s="92" t="s">
        <v>333</v>
      </c>
      <c r="J14" s="92" t="s">
        <v>333</v>
      </c>
      <c r="K14" s="92" t="s">
        <v>332</v>
      </c>
      <c r="L14" s="92" t="s">
        <v>332</v>
      </c>
      <c r="M14" s="92" t="s">
        <v>332</v>
      </c>
      <c r="N14" s="88" t="s">
        <v>333</v>
      </c>
      <c r="O14" s="36"/>
      <c r="P14" s="104" t="s">
        <v>332</v>
      </c>
      <c r="Q14" s="17"/>
      <c r="R14" s="117" t="s">
        <v>600</v>
      </c>
    </row>
    <row r="15" spans="1:18">
      <c r="A15" s="20"/>
      <c r="B15" s="21"/>
      <c r="C15" s="89" t="s">
        <v>25</v>
      </c>
      <c r="D15" s="97" t="s">
        <v>309</v>
      </c>
      <c r="E15" s="98" t="s">
        <v>309</v>
      </c>
      <c r="F15" s="92" t="s">
        <v>309</v>
      </c>
      <c r="G15" s="92" t="s">
        <v>309</v>
      </c>
      <c r="H15" s="93" t="s">
        <v>309</v>
      </c>
      <c r="I15" s="92" t="s">
        <v>309</v>
      </c>
      <c r="J15" s="92" t="s">
        <v>309</v>
      </c>
      <c r="K15" s="92" t="s">
        <v>309</v>
      </c>
      <c r="L15" s="92" t="s">
        <v>309</v>
      </c>
      <c r="M15" s="92" t="s">
        <v>309</v>
      </c>
      <c r="N15" s="88" t="s">
        <v>309</v>
      </c>
      <c r="O15" s="36"/>
      <c r="P15" s="104" t="s">
        <v>309</v>
      </c>
      <c r="Q15" s="17"/>
      <c r="R15" s="117" t="s">
        <v>608</v>
      </c>
    </row>
    <row r="16" spans="1:18">
      <c r="A16" s="20"/>
      <c r="B16" s="21"/>
      <c r="C16" s="89" t="s">
        <v>19</v>
      </c>
      <c r="D16" s="97" t="s">
        <v>336</v>
      </c>
      <c r="E16" s="98" t="s">
        <v>336</v>
      </c>
      <c r="F16" s="92" t="s">
        <v>336</v>
      </c>
      <c r="G16" s="92" t="s">
        <v>336</v>
      </c>
      <c r="H16" s="93" t="s">
        <v>336</v>
      </c>
      <c r="I16" s="92" t="s">
        <v>336</v>
      </c>
      <c r="J16" s="92" t="s">
        <v>336</v>
      </c>
      <c r="K16" s="92" t="s">
        <v>336</v>
      </c>
      <c r="L16" s="92" t="s">
        <v>336</v>
      </c>
      <c r="M16" s="92" t="s">
        <v>336</v>
      </c>
      <c r="N16" s="88" t="s">
        <v>336</v>
      </c>
      <c r="O16" s="36"/>
      <c r="P16" s="104" t="s">
        <v>335</v>
      </c>
      <c r="Q16" s="17"/>
      <c r="R16" s="117" t="s">
        <v>601</v>
      </c>
    </row>
    <row r="17" spans="1:18">
      <c r="A17" s="20"/>
      <c r="B17" s="21"/>
      <c r="C17" s="89" t="s">
        <v>116</v>
      </c>
      <c r="D17" s="97" t="s">
        <v>307</v>
      </c>
      <c r="E17" s="98" t="s">
        <v>307</v>
      </c>
      <c r="F17" s="92" t="s">
        <v>311</v>
      </c>
      <c r="G17" s="92" t="s">
        <v>307</v>
      </c>
      <c r="H17" s="93" t="s">
        <v>307</v>
      </c>
      <c r="I17" s="92" t="s">
        <v>307</v>
      </c>
      <c r="J17" s="92" t="s">
        <v>307</v>
      </c>
      <c r="K17" s="92" t="s">
        <v>307</v>
      </c>
      <c r="L17" s="92" t="s">
        <v>307</v>
      </c>
      <c r="M17" s="92" t="s">
        <v>307</v>
      </c>
      <c r="N17" s="88" t="s">
        <v>307</v>
      </c>
      <c r="O17" s="36"/>
      <c r="P17" s="104" t="s">
        <v>311</v>
      </c>
      <c r="Q17" s="17"/>
      <c r="R17" s="117" t="s">
        <v>610</v>
      </c>
    </row>
    <row r="18" spans="1:18">
      <c r="A18" s="20"/>
      <c r="B18" s="21"/>
      <c r="C18" s="89" t="s">
        <v>113</v>
      </c>
      <c r="D18" s="97" t="s">
        <v>327</v>
      </c>
      <c r="E18" s="98" t="s">
        <v>331</v>
      </c>
      <c r="F18" s="92" t="s">
        <v>327</v>
      </c>
      <c r="G18" s="92" t="s">
        <v>327</v>
      </c>
      <c r="H18" s="93" t="s">
        <v>331</v>
      </c>
      <c r="I18" s="92" t="s">
        <v>327</v>
      </c>
      <c r="J18" s="92" t="s">
        <v>331</v>
      </c>
      <c r="K18" s="92" t="s">
        <v>331</v>
      </c>
      <c r="L18" s="92" t="s">
        <v>331</v>
      </c>
      <c r="M18" s="92" t="s">
        <v>327</v>
      </c>
      <c r="N18" s="88" t="s">
        <v>331</v>
      </c>
      <c r="O18" s="36"/>
      <c r="P18" s="104" t="s">
        <v>327</v>
      </c>
      <c r="Q18" s="17"/>
      <c r="R18" s="117" t="s">
        <v>613</v>
      </c>
    </row>
    <row r="19" spans="1:18">
      <c r="A19" s="20"/>
      <c r="B19" s="21"/>
      <c r="C19" s="89" t="s">
        <v>59</v>
      </c>
      <c r="D19" s="97" t="s">
        <v>328</v>
      </c>
      <c r="E19" s="98" t="s">
        <v>320</v>
      </c>
      <c r="F19" s="92" t="s">
        <v>320</v>
      </c>
      <c r="G19" s="92" t="s">
        <v>320</v>
      </c>
      <c r="H19" s="93" t="s">
        <v>320</v>
      </c>
      <c r="I19" s="92" t="s">
        <v>320</v>
      </c>
      <c r="J19" s="92" t="s">
        <v>320</v>
      </c>
      <c r="K19" s="92" t="s">
        <v>320</v>
      </c>
      <c r="L19" s="92" t="s">
        <v>320</v>
      </c>
      <c r="M19" s="92" t="s">
        <v>320</v>
      </c>
      <c r="N19" s="88" t="s">
        <v>320</v>
      </c>
      <c r="O19" s="36"/>
      <c r="P19" s="104" t="s">
        <v>328</v>
      </c>
      <c r="Q19" s="17"/>
      <c r="R19" s="117" t="s">
        <v>602</v>
      </c>
    </row>
    <row r="20" spans="1:18">
      <c r="A20" s="20"/>
      <c r="B20" s="21"/>
      <c r="C20" s="89" t="s">
        <v>102</v>
      </c>
      <c r="D20" s="97" t="s">
        <v>338</v>
      </c>
      <c r="E20" s="98" t="s">
        <v>338</v>
      </c>
      <c r="F20" s="92" t="s">
        <v>317</v>
      </c>
      <c r="G20" s="92" t="s">
        <v>338</v>
      </c>
      <c r="H20" s="93" t="s">
        <v>317</v>
      </c>
      <c r="I20" s="92" t="s">
        <v>317</v>
      </c>
      <c r="J20" s="92" t="s">
        <v>317</v>
      </c>
      <c r="K20" s="92" t="s">
        <v>317</v>
      </c>
      <c r="L20" s="92" t="s">
        <v>338</v>
      </c>
      <c r="M20" s="92" t="s">
        <v>317</v>
      </c>
      <c r="N20" s="88" t="s">
        <v>317</v>
      </c>
      <c r="O20" s="36"/>
      <c r="P20" s="104" t="s">
        <v>317</v>
      </c>
      <c r="Q20" s="17"/>
      <c r="R20" s="117" t="s">
        <v>603</v>
      </c>
    </row>
    <row r="21" spans="1:18">
      <c r="A21" s="20"/>
      <c r="B21" s="21"/>
      <c r="C21" s="89" t="s">
        <v>104</v>
      </c>
      <c r="D21" s="97" t="s">
        <v>312</v>
      </c>
      <c r="E21" s="98" t="s">
        <v>312</v>
      </c>
      <c r="F21" s="92" t="s">
        <v>312</v>
      </c>
      <c r="G21" s="92" t="s">
        <v>312</v>
      </c>
      <c r="H21" s="93" t="s">
        <v>312</v>
      </c>
      <c r="I21" s="92" t="s">
        <v>312</v>
      </c>
      <c r="J21" s="92" t="s">
        <v>312</v>
      </c>
      <c r="K21" s="92" t="s">
        <v>312</v>
      </c>
      <c r="L21" s="92" t="s">
        <v>312</v>
      </c>
      <c r="M21" s="92" t="s">
        <v>312</v>
      </c>
      <c r="N21" s="88" t="s">
        <v>312</v>
      </c>
      <c r="O21" s="36"/>
      <c r="P21" s="104" t="s">
        <v>312</v>
      </c>
      <c r="Q21" s="17"/>
      <c r="R21" s="117" t="s">
        <v>604</v>
      </c>
    </row>
    <row r="22" spans="1:18" ht="16" thickBot="1">
      <c r="A22" s="20"/>
      <c r="B22" s="21"/>
      <c r="C22" s="99" t="s">
        <v>142</v>
      </c>
      <c r="D22" s="100" t="s">
        <v>322</v>
      </c>
      <c r="E22" s="101" t="s">
        <v>322</v>
      </c>
      <c r="F22" s="102" t="s">
        <v>308</v>
      </c>
      <c r="G22" s="102" t="s">
        <v>322</v>
      </c>
      <c r="H22" s="100" t="s">
        <v>322</v>
      </c>
      <c r="I22" s="102" t="s">
        <v>322</v>
      </c>
      <c r="J22" s="102" t="s">
        <v>322</v>
      </c>
      <c r="K22" s="102" t="s">
        <v>322</v>
      </c>
      <c r="L22" s="102" t="s">
        <v>322</v>
      </c>
      <c r="M22" s="102" t="s">
        <v>322</v>
      </c>
      <c r="N22" s="103" t="s">
        <v>308</v>
      </c>
      <c r="O22" s="36"/>
      <c r="P22" s="105" t="s">
        <v>322</v>
      </c>
      <c r="Q22" s="17"/>
      <c r="R22" s="118" t="s">
        <v>605</v>
      </c>
    </row>
    <row r="23" spans="1:18" ht="16" thickTop="1">
      <c r="A23" s="20"/>
      <c r="B23" s="6"/>
      <c r="C23" s="37"/>
      <c r="D23" s="38"/>
      <c r="E23" s="39"/>
      <c r="F23" s="38"/>
      <c r="G23" s="38"/>
      <c r="H23" s="40"/>
      <c r="I23" s="38"/>
      <c r="J23" s="38"/>
      <c r="K23" s="38"/>
      <c r="L23" s="38"/>
      <c r="M23" s="38"/>
      <c r="N23" s="38"/>
      <c r="O23" s="36"/>
      <c r="P23" s="41" t="s">
        <v>16</v>
      </c>
      <c r="Q23" s="17"/>
      <c r="R23" s="2"/>
    </row>
    <row r="24" spans="1:18">
      <c r="A24" s="20"/>
      <c r="B24" s="6"/>
      <c r="C24" s="42" t="s">
        <v>15</v>
      </c>
      <c r="D24" s="82">
        <v>42</v>
      </c>
      <c r="E24" s="107">
        <v>47</v>
      </c>
      <c r="F24" s="82">
        <v>47</v>
      </c>
      <c r="G24" s="82">
        <v>45</v>
      </c>
      <c r="H24" s="83">
        <v>48</v>
      </c>
      <c r="I24" s="82">
        <v>45</v>
      </c>
      <c r="J24" s="82">
        <v>32</v>
      </c>
      <c r="K24" s="82">
        <v>36</v>
      </c>
      <c r="L24" s="82">
        <v>43</v>
      </c>
      <c r="M24" s="82">
        <v>40</v>
      </c>
      <c r="N24" s="82">
        <v>44</v>
      </c>
      <c r="O24" s="36"/>
      <c r="P24" s="106"/>
      <c r="Q24" s="17"/>
      <c r="R24" s="2"/>
    </row>
    <row r="25" spans="1:18">
      <c r="A25" s="20"/>
      <c r="B25" s="6"/>
      <c r="C25" s="43"/>
      <c r="D25" s="38"/>
      <c r="E25" s="39"/>
      <c r="F25" s="38"/>
      <c r="G25" s="38"/>
      <c r="H25" s="40"/>
      <c r="I25" s="38"/>
      <c r="J25" s="38"/>
      <c r="K25" s="38"/>
      <c r="L25" s="38"/>
      <c r="M25" s="38"/>
      <c r="N25" s="38"/>
      <c r="O25" s="36"/>
      <c r="P25" s="36"/>
      <c r="Q25" s="17"/>
      <c r="R25" s="2"/>
    </row>
    <row r="26" spans="1:18">
      <c r="A26" s="20"/>
      <c r="B26" s="6"/>
      <c r="C26" s="44" t="s">
        <v>13</v>
      </c>
      <c r="D26" s="45" t="str" cm="1">
        <f t="array" ref="D26">SUMPRODUCT(--(D7:D22=$P$7:$P$22), --($P$7:$P$22&lt;&gt;"")) &amp; "-" &amp; SUMPRODUCT(--(D7:D22&lt;&gt;$P$7:$P$22), --($P$7:$P$22&lt;&gt;""))</f>
        <v>10-6</v>
      </c>
      <c r="E26" s="46" t="str" cm="1">
        <f t="array" ref="E26">SUMPRODUCT(--(E7:E22=$P$7:$P$22), --($P$7:$P$22&lt;&gt;"")) &amp; "-" &amp; SUMPRODUCT(--(E7:E22&lt;&gt;$P$7:$P$22), --($P$7:$P$22&lt;&gt;""))</f>
        <v>7-9</v>
      </c>
      <c r="F26" s="45" t="str" cm="1">
        <f t="array" ref="F26">SUMPRODUCT(--(F7:F22=$P$7:$P$22), --($P$7:$P$22&lt;&gt;"")) &amp; "-" &amp; SUMPRODUCT(--(F7:F22&lt;&gt;$P$7:$P$22), --($P$7:$P$22&lt;&gt;""))</f>
        <v>12-4</v>
      </c>
      <c r="G26" s="45" t="str" cm="1">
        <f t="array" ref="G26">SUMPRODUCT(--(G7:G22=$P$7:$P$22), --($P$7:$P$22&lt;&gt;"")) &amp; "-" &amp; SUMPRODUCT(--(G7:G22&lt;&gt;$P$7:$P$22), --($P$7:$P$22&lt;&gt;""))</f>
        <v>8-8</v>
      </c>
      <c r="H26" s="47" t="str" cm="1">
        <f t="array" ref="H26">SUMPRODUCT(--(H7:H22=$P$7:$P$22), --($P$7:$P$22&lt;&gt;"")) &amp; "-" &amp; SUMPRODUCT(--(H7:H22&lt;&gt;$P$7:$P$22), --($P$7:$P$22&lt;&gt;""))</f>
        <v>9-7</v>
      </c>
      <c r="I26" s="45" t="str" cm="1">
        <f t="array" ref="I26">SUMPRODUCT(--(I7:I22=$P$7:$P$22), --($P$7:$P$22&lt;&gt;"")) &amp; "-" &amp; SUMPRODUCT(--(I7:I22&lt;&gt;$P$7:$P$22), --($P$7:$P$22&lt;&gt;""))</f>
        <v>9-7</v>
      </c>
      <c r="J26" s="45" t="str" cm="1">
        <f t="array" ref="J26">SUMPRODUCT(--(J7:J22=$P$7:$P$22), --($P$7:$P$22&lt;&gt;"")) &amp; "-" &amp; SUMPRODUCT(--(J7:J22&lt;&gt;$P$7:$P$22), --($P$7:$P$22&lt;&gt;""))</f>
        <v>8-8</v>
      </c>
      <c r="K26" s="45" t="str" cm="1">
        <f t="array" ref="K26">SUMPRODUCT(--(K7:K22=$P$7:$P$22), --($P$7:$P$22&lt;&gt;"")) &amp; "-" &amp; SUMPRODUCT(--(K7:K22&lt;&gt;$P$7:$P$22), --($P$7:$P$22&lt;&gt;""))</f>
        <v>10-6</v>
      </c>
      <c r="L26" s="45" t="str" cm="1">
        <f t="array" ref="L26">SUMPRODUCT(--(L7:L22=$P$7:$P$22), --($P$7:$P$22&lt;&gt;"")) &amp; "-" &amp; SUMPRODUCT(--(L7:L22&lt;&gt;$P$7:$P$22), --($P$7:$P$22&lt;&gt;""))</f>
        <v>7-9</v>
      </c>
      <c r="M26" s="45" t="str" cm="1">
        <f t="array" ref="M26">SUMPRODUCT(--(M7:M22=$P$7:$P$22), --($P$7:$P$22&lt;&gt;"")) &amp; "-" &amp; SUMPRODUCT(--(M7:M22&lt;&gt;$P$7:$P$22), --($P$7:$P$22&lt;&gt;""))</f>
        <v>9-7</v>
      </c>
      <c r="N26" s="45" t="str" cm="1">
        <f t="array" ref="N26">SUMPRODUCT(--(N7:N22=$P$7:$P$22), --($P$7:$P$22&lt;&gt;"")) &amp; "-" &amp; SUMPRODUCT(--(N7:N22&lt;&gt;$P$7:$P$22), --($P$7:$P$22&lt;&gt;""))</f>
        <v>8-8</v>
      </c>
      <c r="O26" s="36"/>
      <c r="P26" s="36"/>
      <c r="Q26" s="17"/>
      <c r="R26" s="2"/>
    </row>
    <row r="27" spans="1:18">
      <c r="A27" s="20"/>
      <c r="B27" s="6"/>
      <c r="C27" s="7"/>
      <c r="D27" s="11">
        <f>VALUE(LEFT(D26,FIND("-",D26)-1)) - VALUE(MID(D26,FIND("-",D26)+1,LEN(D26)-FIND("-",D26)))</f>
        <v>4</v>
      </c>
      <c r="E27" s="11">
        <f t="shared" ref="E27:N27" si="0">VALUE(LEFT(E26,FIND("-",E26)-1)) - VALUE(MID(E26,FIND("-",E26)+1,LEN(E26)-FIND("-",E26)))</f>
        <v>-2</v>
      </c>
      <c r="F27" s="11">
        <f t="shared" si="0"/>
        <v>8</v>
      </c>
      <c r="G27" s="11">
        <f t="shared" si="0"/>
        <v>0</v>
      </c>
      <c r="H27" s="11">
        <f t="shared" si="0"/>
        <v>2</v>
      </c>
      <c r="I27" s="11">
        <f t="shared" si="0"/>
        <v>2</v>
      </c>
      <c r="J27" s="11">
        <f t="shared" si="0"/>
        <v>0</v>
      </c>
      <c r="K27" s="11">
        <f t="shared" si="0"/>
        <v>4</v>
      </c>
      <c r="L27" s="11">
        <f t="shared" si="0"/>
        <v>-2</v>
      </c>
      <c r="M27" s="11">
        <f t="shared" si="0"/>
        <v>2</v>
      </c>
      <c r="N27" s="11">
        <f t="shared" si="0"/>
        <v>0</v>
      </c>
      <c r="O27" s="6"/>
      <c r="P27" s="6"/>
      <c r="Q27" s="17"/>
      <c r="R27" s="2"/>
    </row>
    <row r="28" spans="1:18" ht="24" customHeight="1">
      <c r="A28" s="20"/>
      <c r="B28" s="12"/>
      <c r="C28" s="199" t="s">
        <v>17</v>
      </c>
      <c r="D28" s="200"/>
      <c r="E28" s="201" t="str" cm="1">
        <f t="array" ref="E28">IF(P24="", "",
   _xlfn.LET(
      _xlpm.scores, D27:N27,
      _xlpm.names, D5:N5,
      _xlpm.tiebreaks, D24:N24,
      _xlpm.guesses, D26:N26,
      _xlpm.maxScore, MAX(_xlpm.scores),
      _xlpm.topScorers, IF(_xlpm.scores=_xlpm.maxScore, 1, 0),
      _xlpm.tiebreakDiffs, IF(_xlpm.topScorers, ABS(_xlpm.tiebreaks - P24), ""),
      _xlpm.minDiff, MIN(IF(_xlpm.tiebreakDiffs&lt;&gt;"", _xlpm.tiebreakDiffs)),
      _xlpm.winners, IF((_xlpm.scores=_xlpm.maxScore)*(ABS(_xlpm.tiebreaks - P24)=_xlpm.minDiff), _xlpm.names, ""),
      _xlpm.guessMatch, INDEX(_xlpm.guesses, MATCH(1, (_xlpm.scores=_xlpm.maxScore)*(ABS(_xlpm.tiebreaks - P24)=_xlpm.minDiff), 0)),
      _xlpm.winnerList, _xlfn.TEXTJOIN(", ", TRUE, _xlpm.winners),
      IF(COUNTA(_xlfn._xlws.FILTER(_xlpm.winners, _xlpm.winners&lt;&gt;""))=1,
         _xlpm.winnerList &amp; " (" &amp; _xlpm.guessMatch &amp; ")",
         _xlpm.winnerList
      )
   )
)</f>
        <v/>
      </c>
      <c r="F28" s="202"/>
      <c r="G28" s="203"/>
      <c r="H28" s="6"/>
      <c r="I28" s="6"/>
      <c r="J28" s="6"/>
      <c r="K28" s="6"/>
      <c r="L28" s="6"/>
      <c r="M28" s="6"/>
      <c r="N28" s="6"/>
      <c r="O28" s="6"/>
      <c r="P28" s="6"/>
      <c r="Q28" s="17"/>
    </row>
    <row r="29" spans="1:18" ht="15" customHeight="1" thickBot="1">
      <c r="A29" s="20"/>
      <c r="B29" s="22"/>
      <c r="C29" s="32"/>
      <c r="D29" s="32"/>
      <c r="E29" s="33"/>
      <c r="F29" s="33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5"/>
    </row>
    <row r="30" spans="1:18" ht="16" thickTop="1">
      <c r="D30" s="1"/>
    </row>
    <row r="35" spans="9:9" ht="16" thickBot="1"/>
    <row r="36" spans="9:9" ht="16" thickTop="1">
      <c r="I36" s="13"/>
    </row>
  </sheetData>
  <sheetProtection selectLockedCells="1"/>
  <customSheetViews>
    <customSheetView guid="{096EED88-6BAE-D941-AE0E-0C5B75B09829}">
      <selection activeCell="R1" sqref="R1:R1048576"/>
      <pageMargins left="0.7" right="0.7" top="0.75" bottom="0.75" header="0.3" footer="0.3"/>
      <pageSetup orientation="portrait" r:id="rId1"/>
    </customSheetView>
  </customSheetViews>
  <mergeCells count="17">
    <mergeCell ref="R5:R6"/>
    <mergeCell ref="C28:D28"/>
    <mergeCell ref="E28:G28"/>
    <mergeCell ref="C3:P3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  <mergeCell ref="N5:N6"/>
    <mergeCell ref="P5:P6"/>
  </mergeCells>
  <conditionalFormatting sqref="D7:N22">
    <cfRule type="expression" dxfId="3" priority="3">
      <formula>AND($P7=D7, $P7&lt;&gt;"")</formula>
    </cfRule>
    <cfRule type="expression" dxfId="2" priority="4">
      <formula>AND($P7&lt;&gt;D7, $P7&lt;&gt;"")</formula>
    </cfRule>
  </conditionalFormatting>
  <conditionalFormatting sqref="D26:N26">
    <cfRule type="expression" dxfId="1" priority="1">
      <formula>AND(--LEFT(D26,FIND("-",D26)-1) = MAX(--LEFT($D$26:$N$26,FIND("-",$D$26:$N$26)-1)), COUNTIF($D$26:$N$26, MAX(--LEFT($D$26:$N$26,FIND("-",$D$26:$N$26)-1)) &amp; "-*") &gt; 1)</formula>
    </cfRule>
    <cfRule type="expression" dxfId="0" priority="2">
      <formula>AND(--LEFT(D26,FIND("-",D26)-1) = MAX(--LEFT($D$26:$N$26,FIND("-",$D$26:$N$26)-1)), COUNTIF($D$26:$N$26, MAX(--LEFT($D$26:$N$26,FIND("-",$D$26:$N$26)-1)) &amp; "-*") = 1)</formula>
    </cfRule>
  </conditionalFormatting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5" name="Button 1">
              <controlPr defaultSize="0" print="0" autoFill="0" autoPict="0" macro="[0]!UpdateCurrentSheet">
                <anchor moveWithCells="1" sizeWithCells="1">
                  <from>
                    <xdr:col>17</xdr:col>
                    <xdr:colOff>584200</xdr:colOff>
                    <xdr:row>2</xdr:row>
                    <xdr:rowOff>38100</xdr:rowOff>
                  </from>
                  <to>
                    <xdr:col>17</xdr:col>
                    <xdr:colOff>1231900</xdr:colOff>
                    <xdr:row>2</xdr:row>
                    <xdr:rowOff>355600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Colleen</dc:creator>
  <cp:lastModifiedBy>Steven Farley</cp:lastModifiedBy>
  <cp:lastPrinted>2025-09-07T18:45:38Z</cp:lastPrinted>
  <dcterms:created xsi:type="dcterms:W3CDTF">2024-09-19T23:34:27Z</dcterms:created>
  <dcterms:modified xsi:type="dcterms:W3CDTF">2026-01-05T13:39:22Z</dcterms:modified>
</cp:coreProperties>
</file>